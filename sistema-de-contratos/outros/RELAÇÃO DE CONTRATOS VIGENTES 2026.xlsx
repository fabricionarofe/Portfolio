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/>
  </bookViews>
  <sheets>
    <sheet name="CONTRATOS" sheetId="1" r:id="rId1"/>
    <sheet name="NE" sheetId="2" r:id="rId2"/>
    <sheet name="PARCERIAS" sheetId="3" r:id="rId3"/>
    <sheet name="ATAS" sheetId="4" r:id="rId4"/>
    <sheet name="CONTRATOS_ENCERRADOS" sheetId="5" r:id="rId5"/>
  </sheets>
  <definedNames>
    <definedName name="_xlnm._FilterDatabase" localSheetId="0" hidden="1">CONTRATOS!$A$1:$T$47</definedName>
  </definedNames>
  <calcPr calcId="12451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43" i="5"/>
  <c r="J31"/>
  <c r="J34"/>
  <c r="J24" i="1"/>
  <c r="J44" i="5"/>
  <c r="J32"/>
  <c r="J39" i="1"/>
  <c r="J40"/>
  <c r="J45" i="5"/>
  <c r="J46"/>
  <c r="J47"/>
  <c r="J48"/>
  <c r="J36"/>
  <c r="J24"/>
  <c r="J12"/>
  <c r="I13" i="4"/>
  <c r="J54" i="1"/>
  <c r="J42"/>
  <c r="J27"/>
  <c r="I14" i="4"/>
  <c r="J43" i="1"/>
  <c r="J30"/>
  <c r="J14" i="5"/>
  <c r="J44" i="1"/>
  <c r="J3" i="5"/>
  <c r="J35" i="1"/>
  <c r="J19" i="5"/>
  <c r="J50" i="1"/>
  <c r="J9" i="5"/>
  <c r="I11" i="4"/>
  <c r="J11" i="5"/>
  <c r="J49"/>
  <c r="J37"/>
  <c r="J25"/>
  <c r="J13"/>
  <c r="H3" i="3"/>
  <c r="I3" i="4"/>
  <c r="J32" i="1"/>
  <c r="I4" i="4"/>
  <c r="J48" i="1"/>
  <c r="J7" i="5"/>
  <c r="J12" i="1"/>
  <c r="J33" i="5"/>
  <c r="J35"/>
  <c r="J50"/>
  <c r="J38"/>
  <c r="J26"/>
  <c r="I15" i="4"/>
  <c r="J33" i="1"/>
  <c r="J36"/>
  <c r="J49"/>
  <c r="J8" i="5"/>
  <c r="J17" i="1"/>
  <c r="J21"/>
  <c r="J41"/>
  <c r="J51" i="5"/>
  <c r="J39"/>
  <c r="J27"/>
  <c r="J15"/>
  <c r="J45" i="1"/>
  <c r="J8"/>
  <c r="I9" i="4"/>
  <c r="J51" i="1"/>
  <c r="J22" i="5"/>
  <c r="J53" i="1"/>
  <c r="J52" i="5"/>
  <c r="J40"/>
  <c r="J28"/>
  <c r="J16"/>
  <c r="J4"/>
  <c r="I5" i="4"/>
  <c r="J46" i="1"/>
  <c r="J34"/>
  <c r="J41" i="5"/>
  <c r="J29"/>
  <c r="J17"/>
  <c r="J5"/>
  <c r="I6" i="4"/>
  <c r="J47" i="1"/>
  <c r="J3"/>
  <c r="J37"/>
  <c r="J20" i="5"/>
  <c r="J21"/>
  <c r="J52" i="1"/>
  <c r="J23" i="5"/>
  <c r="J53"/>
  <c r="J54"/>
  <c r="J42"/>
  <c r="J30"/>
  <c r="J18"/>
  <c r="J6"/>
  <c r="I7" i="4"/>
  <c r="I8"/>
  <c r="J38" i="1"/>
  <c r="I10" i="4"/>
  <c r="J10" i="5"/>
  <c r="I12" i="4"/>
</calcChain>
</file>

<file path=xl/comments1.xml><?xml version="1.0" encoding="utf-8"?>
<comments xmlns="http://schemas.openxmlformats.org/spreadsheetml/2006/main">
  <authors>
    <author>Camila Costa</author>
  </authors>
  <commentList>
    <comment ref="G7" authorId="0">
      <text>
        <r>
          <rPr>
            <sz val="10"/>
            <rFont val="Arial"/>
            <family val="2"/>
          </rPr>
          <t>Camila Costa:</t>
        </r>
        <r>
          <rPr>
            <sz val="9"/>
            <color rgb="FF000000"/>
            <rFont val="Segoe UI"/>
            <family val="2"/>
            <charset val="1"/>
          </rPr>
          <t>Vigência: 1º dia útil subsequente à data da publicação no DOM e PNCP</t>
        </r>
      </text>
    </comment>
  </commentList>
</comments>
</file>

<file path=xl/sharedStrings.xml><?xml version="1.0" encoding="utf-8"?>
<sst xmlns="http://schemas.openxmlformats.org/spreadsheetml/2006/main" count="900" uniqueCount="575">
  <si>
    <t>Nº DO PROCESSO</t>
  </si>
  <si>
    <t>N° DO
 CONTRATO</t>
  </si>
  <si>
    <t>CONTRATADO</t>
  </si>
  <si>
    <t>CNPJ/CPF</t>
  </si>
  <si>
    <t>OBJETO</t>
  </si>
  <si>
    <t>VALOR</t>
  </si>
  <si>
    <t>VIGÊNCIA</t>
  </si>
  <si>
    <t>FISCAL DO 
CONTRATO</t>
  </si>
  <si>
    <t>SUPLENTE DE
FISCAL</t>
  </si>
  <si>
    <t>PORTARIA DE DESIGNAÇÃO</t>
  </si>
  <si>
    <t>MODALIDADE</t>
  </si>
  <si>
    <t>LEI APLICÁVEL</t>
  </si>
  <si>
    <t>QTD DE ADITIVOS</t>
  </si>
  <si>
    <t>OBJETO DO ADITIVO</t>
  </si>
  <si>
    <t>LINK DO CONTRATO E 
TERMOS ADITIVOS</t>
  </si>
  <si>
    <t>INICIAL</t>
  </si>
  <si>
    <t>FINAL</t>
  </si>
  <si>
    <t>DIAS RESTANTES</t>
  </si>
  <si>
    <t>159/2025</t>
  </si>
  <si>
    <t>02/2021</t>
  </si>
  <si>
    <t>CLARO BRASIL S/A</t>
  </si>
  <si>
    <t>14.700.173/0001-27</t>
  </si>
  <si>
    <t xml:space="preserve"> Prestação de Serviços de telefonia móvel pessoal (SMP), de acordo com as condições estabelecidas no Termo de Refencia - ANEXO I do Edital, consoante estabelecido no Processo Licitatório Edital nº 007/2020 Pregão Eletrônico e Ata de Registro de Preços no 001/2021SEPLAD/DGL/SRP, que passam a fazer parte integrante deste Contrato, sob a forma de anexos, como se nele fossem transcritos, no seguinte documento: Termo de Referência (Anexo I do Edital).</t>
  </si>
  <si>
    <t>LUIZ CARLOS NOGUEIRA SOLEDADE NETO</t>
  </si>
  <si>
    <t>PORTARIA Nº 23/2025 - 31/03/2025</t>
  </si>
  <si>
    <t>Adesão à ARP nº 01/2021 - SEPLAD</t>
  </si>
  <si>
    <t>8.666/93</t>
  </si>
  <si>
    <t>Contrato</t>
  </si>
  <si>
    <t>1º TA - Prorrogação de prazo</t>
  </si>
  <si>
    <t>2º TA - Prorrogação de prazo</t>
  </si>
  <si>
    <t>3º TA - Prorrogação de prazo</t>
  </si>
  <si>
    <t>4º TA - Alteração de titularidade da contratante</t>
  </si>
  <si>
    <t>478/2019</t>
  </si>
  <si>
    <t>04/2022</t>
  </si>
  <si>
    <t>3I COMÉRCIO E SERVIÇOS DE MANUTENÇÃO EM EQUIPAMENTOS ELETRO-MECÂNICOS EIRELI</t>
  </si>
  <si>
    <t>18.431.758/0001-40</t>
  </si>
  <si>
    <t>Prestação de serviços contínuos de manutenção preventiva e corretiva com substituição de partes ou peças, ar condicionados do tipo janela, minicentrais split – Hi-Wall</t>
  </si>
  <si>
    <t>Jessica Andreza Neves dos Santos</t>
  </si>
  <si>
    <t>Pregão Eletrônico SRP</t>
  </si>
  <si>
    <t>https://drive.google.com/file/d/1_TmFnVwNfIeRIu5Cs4S0NlUDC12oHeAD/view?usp=drive_link</t>
  </si>
  <si>
    <t>1º TA - Prorrogação e Repactuação</t>
  </si>
  <si>
    <t>https://drive.google.com/file/d/1jPEkzt9BMCuoWdXmdt5SlnOoAp6At-yM/view?usp=drive_link</t>
  </si>
  <si>
    <t>2º TA - Prorrogação e Garantia futura de repactuação</t>
  </si>
  <si>
    <t>https://drive.google.com/file/d/16iiMC1QfpnzoYPSIQ97iy8Q3z2S-RWNW/view?usp=drive_link</t>
  </si>
  <si>
    <t>157/2025</t>
  </si>
  <si>
    <t>028/2022</t>
  </si>
  <si>
    <t>TICKET
SOLUÇÕES HDFGT S/A</t>
  </si>
  <si>
    <t>03.506.307/0001–57</t>
  </si>
  <si>
    <t>Prestação dos serviços de administração e
gerenciamento informatizado de fornecimento contínuo e ininterrupto de combustíveis em rede de postos credenciados em todo o território nacional para
veículos automotores e equipamentos integrantes da frota da Administração Pública Municipal, com utilização de cartão magnético, PELO MENOR PREÇO, conforme
condições, quantidades e exigências estabelecidas neste instrumento, para os órgãos e entidades da Prefeitura Municipal de Belém.</t>
  </si>
  <si>
    <t>BRENO ALEXANDRE DOS SANTOS</t>
  </si>
  <si>
    <t>PORTARIA Nº 24/2025 - 31/03/2025</t>
  </si>
  <si>
    <t>Adesão a Ata de Registro de Preço Nº 009/2022-SEPLAD</t>
  </si>
  <si>
    <t>3º TA - Alteração de titularidade da contratante</t>
  </si>
  <si>
    <t>4º TA - Prorrogação de prazo</t>
  </si>
  <si>
    <t>093/2023</t>
  </si>
  <si>
    <t>06/2023</t>
  </si>
  <si>
    <t>NORTE TURISMO LTDA</t>
  </si>
  <si>
    <t>05.570.254/0001-69</t>
  </si>
  <si>
    <t>Prestação de serviço de agenciamento de viagens para fornecimento de passagens aéreas, nacionais e internacionais</t>
  </si>
  <si>
    <t>PORTARIA Nº 031/2023</t>
  </si>
  <si>
    <t>Adesão a Ata de Registro de Preços Nº 017/2022-SEPLAD</t>
  </si>
  <si>
    <t xml:space="preserve"> 8.666/93</t>
  </si>
  <si>
    <t xml:space="preserve">https://drive.google.com/file/d/1-_1xiz_w-ESZdBqbgaBnggdQTjSbLHXS/view?usp=drive_link </t>
  </si>
  <si>
    <t>https://drive.google.com/file/d/1EBi_9axABTqZFTokkoWadpXyu_sj1vVJ/view?usp=drive_link</t>
  </si>
  <si>
    <t xml:space="preserve">https://drive.google.com/file/d/11tyl5co06cri4XRN_A6gDwKS8H72sceL/view?usp=drive_link </t>
  </si>
  <si>
    <t>3º TA - Prorrogação de prazo e Acréscimo de 25%</t>
  </si>
  <si>
    <t xml:space="preserve">https://drive.google.com/file/d/1kAtAV0C_LkLQpgMzIJn6-yeVlGlv3eYK/view?usp=drive_link </t>
  </si>
  <si>
    <t>250/2023</t>
  </si>
  <si>
    <t>07/2023</t>
  </si>
  <si>
    <t>M.C XERFAN RECEPÇÕES</t>
  </si>
  <si>
    <t>05.332.940/0001-00</t>
  </si>
  <si>
    <t>Prestação de Serviços de Fornecimento de Alimentação e Bebidas para Coquetel, Coffe Break, Brunch e Almoço/Jantar com Serviço de Garçom para Eventos</t>
  </si>
  <si>
    <t xml:space="preserve">  </t>
  </si>
  <si>
    <t>PORTARIA Nº 031/2023 - 24/03/2023</t>
  </si>
  <si>
    <t>https://drive.google.com/file/d/1iECJP_kdOIJw9rAYSZVTCRbk5EWy3IlH/view?usp=drive_link</t>
  </si>
  <si>
    <t>1º TA - Prorrogação de prazo e reajuste</t>
  </si>
  <si>
    <t xml:space="preserve">https://drive.google.com/file/d/1RM4zCM64pixSjEgl_Bi_PH3sCqSagVUi/view?usp=drive_link </t>
  </si>
  <si>
    <t>2º TA - Prorrogação, reajuste e supressão/Com errata</t>
  </si>
  <si>
    <t>https://drive.google.com/file/d/1U9cRSUIHcoEAZYMizOyulT8SPnZKtRIb/view?usp=drive_link 
https://drive.google.com/file/d/1jaqaA8LLPHP8mH80k2OnYa3FtKR3AxIv/view?usp=drive_link</t>
  </si>
  <si>
    <t>150/2023</t>
  </si>
  <si>
    <t>013/2023</t>
  </si>
  <si>
    <t>NC COMÉRCIO SERVIÇOS E LOCAÇÃO DE MAQUINAS E EQUIPAMENTOS EIRELI</t>
  </si>
  <si>
    <t>08.016.893/0001-75</t>
  </si>
  <si>
    <t>Prestação de serviços de locação de veículos automotores de pequeno, médio e grande porte (van)</t>
  </si>
  <si>
    <t>Adesão a Ata de Registro de Preços nº 242/2022 - SESMA</t>
  </si>
  <si>
    <t xml:space="preserve">https://drive.google.com/file/d/1BQfuy4n2zlOB-jexQifaRzwPMcoqDlNb/view?usp=drive_link </t>
  </si>
  <si>
    <t>1º TA - Prorrogação e reajuste</t>
  </si>
  <si>
    <t xml:space="preserve">https://drive.google.com/file/d/1Qd_ynj2xebfNFU74gg3yUZ_AqLglp32Q/view?usp=drive_link </t>
  </si>
  <si>
    <t xml:space="preserve">https://drive.google.com/file/d/1ECJvU0Ln5fh-oXBJxVHjdK9yXw70UCql/view?usp=drive_link </t>
  </si>
  <si>
    <t>430/2023</t>
  </si>
  <si>
    <t>015/2023</t>
  </si>
  <si>
    <t>CLARO S/A</t>
  </si>
  <si>
    <t>40.432.544/0001-47</t>
  </si>
  <si>
    <t>Prestação de serviço de Link de Internet Dedicado, velocidade 10 Mbps - BLD-Business Link Direct</t>
  </si>
  <si>
    <t>Dilermando de Oliveira Farias Neto</t>
  </si>
  <si>
    <t>PORTARIA Nº 127/2023</t>
  </si>
  <si>
    <t xml:space="preserve">Dispensa de Licitação - Artigo 24, Inciso II  </t>
  </si>
  <si>
    <t xml:space="preserve">https://drive.google.com/file/d/1SJTAhLqQmfHDZpNHA0qZ3IQm6E3WA3_e/view?usp=drive_link </t>
  </si>
  <si>
    <t>1º TA - Prorrogação de prazo e redução do valor</t>
  </si>
  <si>
    <t xml:space="preserve">https://drive.google.com/file/d/1ldejOzU2yLCjcV8rgYYd7g6kUV57ChmR/view?usp=drive_link  </t>
  </si>
  <si>
    <t xml:space="preserve">https://drive.google.com/file/d/1xYWy7RkRRngDlPBNdPVx7hXhclNY83NA/view?usp=drive_link </t>
  </si>
  <si>
    <t>417/2024</t>
  </si>
  <si>
    <t>018/2024</t>
  </si>
  <si>
    <t>BANCO DO BRASIL</t>
  </si>
  <si>
    <t>00.000.000/4445 88</t>
  </si>
  <si>
    <t>Prestação de Serviços de Pagamento a fornecedores de bens e serviços e de servidores da SEGEP a serem processados pelo Sistema OBN</t>
  </si>
  <si>
    <t>Antônio Luiz Gomes</t>
  </si>
  <si>
    <t>Lélio Antônio Barros de Oliveira</t>
  </si>
  <si>
    <t>PORTARIA Nº 
156/2024</t>
  </si>
  <si>
    <t>Dispensa, art. 75, inciso II</t>
  </si>
  <si>
    <t>14.133/2021</t>
  </si>
  <si>
    <t xml:space="preserve">https://drive.google.com/file/d/1uudxZTxp96zx8-l9OcnDL54vvQMuzavp/view?usp=drive_link </t>
  </si>
  <si>
    <t>1º TA - Prorrogação de prazo e atualização da funcional programática</t>
  </si>
  <si>
    <t xml:space="preserve">https://drive.google.com/file/d/1ci09UcHtg31JHnhM_WtskadhBx6UMkyB/view?usp=drive_link </t>
  </si>
  <si>
    <t>366/2025</t>
  </si>
  <si>
    <t>02/2025</t>
  </si>
  <si>
    <t>EXTRA DISTRIBUIDORA DE ÁGUA LTDA</t>
  </si>
  <si>
    <t>46.470.984/0001-75</t>
  </si>
  <si>
    <t>Aquisição de Água Mineral - Copos 200ml</t>
  </si>
  <si>
    <t>João Simões de Carvalho Neto</t>
  </si>
  <si>
    <t>PORTARIA Nº 121/2025 - 11/07/2025</t>
  </si>
  <si>
    <t xml:space="preserve">https://drive.google.com/file/d/1XA2vJ-UPVujcT2_Ux37pHpsEFmlHsleO/view?usp=drive_link </t>
  </si>
  <si>
    <t>450/2025</t>
  </si>
  <si>
    <t>03/2025</t>
  </si>
  <si>
    <t>Y M GORAYEB SANTOS</t>
  </si>
  <si>
    <t>29.520.539/0001-53</t>
  </si>
  <si>
    <t>Aquisição de Gás Liquefeito de Petróleo GLP</t>
  </si>
  <si>
    <t>PORTARIA Nº 120/2025 - 11/07/2025</t>
  </si>
  <si>
    <t xml:space="preserve">https://drive.google.com/file/d/162fA2gJot67E23ceq2X6Ns5uklODpzv9/view?usp=drive_link </t>
  </si>
  <si>
    <t>490/2025</t>
  </si>
  <si>
    <t>04/2025</t>
  </si>
  <si>
    <t>LUMA COMÉRCIO E SERVIÇOS</t>
  </si>
  <si>
    <t>42.462.216/0001-19</t>
  </si>
  <si>
    <t>Aquisição de descartáveis e utensílios - Papel Toalha</t>
  </si>
  <si>
    <t>PORTARIA Nº 122/2025 - 11/07/2025</t>
  </si>
  <si>
    <t xml:space="preserve">https://drive.google.com/file/d/13KjDzaJfmBV6Ujy2cP1hJoHRxjtuuS2Y/view?usp=drive_link </t>
  </si>
  <si>
    <t>503/2025</t>
  </si>
  <si>
    <t>05/2025</t>
  </si>
  <si>
    <t>STAR COMÉRCIO DE ALIMENTOS LTDA – ME</t>
  </si>
  <si>
    <t>23.146.066/0001-90</t>
  </si>
  <si>
    <t>Aquisição de descartáveis e utensílios - Copos descartáveis e luvas</t>
  </si>
  <si>
    <t>PORTARIA Nº 123/2025 - 11/07/2025</t>
  </si>
  <si>
    <t xml:space="preserve">https://drive.google.com/file/d/1tiHb2J4J0KYCYkQ4wtYMVjjyc0BZtpy1/view?usp=drive_link </t>
  </si>
  <si>
    <t>349/2025</t>
  </si>
  <si>
    <t>06/2025</t>
  </si>
  <si>
    <t>MAC COPIADORA E COMÉRCIO DE EQUIPAMENTOS ELETRÔNICOS LTDA</t>
  </si>
  <si>
    <t>24.501.724/0001-87</t>
  </si>
  <si>
    <t>Aquisição de notebooks para técnicos das Unidades de Valorização de Resíduos (UVRs), conforme especificado no Plano de Gestão do Projeto (PGP) do convênio nº 4500075171, firmado com ITAIPU Binacional</t>
  </si>
  <si>
    <t xml:space="preserve"> Paulo Victor Fernandes Chaves Santos</t>
  </si>
  <si>
    <t>Victoria de Paula Paiva Terasawa de Filpo</t>
  </si>
  <si>
    <t>PORTARIA Nº 144/2025 - 01/08/2025</t>
  </si>
  <si>
    <t>Adesão à Ata de Registro de Preços Nº 001-A/2025 - FUNPREVAL</t>
  </si>
  <si>
    <t xml:space="preserve">https://drive.google.com/file/d/1T14vmhHvlnplffII3PbB0QwTYsMHYL7K/view?usp=drive_link </t>
  </si>
  <si>
    <t>740/2025</t>
  </si>
  <si>
    <t>07/2025</t>
  </si>
  <si>
    <t>SPLIT SERVICE REFRIGERAÇÃO COMERCIOS E SERVIÇOS LTDA – EPP</t>
  </si>
  <si>
    <t>11.048.879/0001-68</t>
  </si>
  <si>
    <t>Aquisição de ar-condicionado</t>
  </si>
  <si>
    <t>Luiz Carlos Nogueira Soledade Neto</t>
  </si>
  <si>
    <t>PORTARIA Nº 131/2025 - 29/07/2025</t>
  </si>
  <si>
    <t>Adesão à Ata de Registro de Preços Nº 43/2024 - UFRA</t>
  </si>
  <si>
    <t xml:space="preserve">https://drive.google.com/file/d/10mEjI46pkJWPTZPHUV8n6KiKuwnx2f_P/view?usp=drive_link </t>
  </si>
  <si>
    <t>813/2025</t>
  </si>
  <si>
    <t>08/2025</t>
  </si>
  <si>
    <t>JULIAN GRAZIANO SARTORETTO LTDA - PAVIFENIX</t>
  </si>
  <si>
    <t>25.155.908/0001-03</t>
  </si>
  <si>
    <t>Restauração asfáltica, recapeamento e manutenção com remendo profundo</t>
  </si>
  <si>
    <t>Kim Pinto Monteiro</t>
  </si>
  <si>
    <t>João Marcus Macedo Salomão</t>
  </si>
  <si>
    <t>PORTARIA Nº 143/2025 - 06/08/2025</t>
  </si>
  <si>
    <t>Adesão à Ata de Registro de Preços Nº 49/2025 - Prefeitura de Barcarena</t>
  </si>
  <si>
    <t xml:space="preserve">https://drive.google.com/file/d/1VWVOycSfFKr__vqHPPDQGEEIAdLghCvA/view?usp=drive_link </t>
  </si>
  <si>
    <t>744/2025</t>
  </si>
  <si>
    <t>09/2025</t>
  </si>
  <si>
    <t>COSTA E PAES LTDA</t>
  </si>
  <si>
    <t>08.602.474/0001-15</t>
  </si>
  <si>
    <t>Publicações em jornal de grande circulação</t>
  </si>
  <si>
    <t>Greyse Kelly Gomes Coelho</t>
  </si>
  <si>
    <t>Fernando Pereira Cunha Junior</t>
  </si>
  <si>
    <t>PORTARIA Nº 159/2025 - 19/08/2025</t>
  </si>
  <si>
    <t>Adesão à Ata de Registro de Preços Nº 20240390 - Prefeitura de Breves</t>
  </si>
  <si>
    <t xml:space="preserve">https://drive.google.com/file/d/1cTm9yszYXiBzC4slUxy8Plbsr_DyISp0/view?usp=drive_link </t>
  </si>
  <si>
    <t>749/2025</t>
  </si>
  <si>
    <t>10/2025</t>
  </si>
  <si>
    <t>COVEZI CAMINHÕES E ÔNIBUS LTDA</t>
  </si>
  <si>
    <t>35.963.155/0001-08</t>
  </si>
  <si>
    <t>Aquisição de veículos destinados à coleta seletiva de materiais recicláveis, para atendimento do Convênio nº 4500075171, firmado com a ITAIPU Binacional</t>
  </si>
  <si>
    <t>Raimundo Nonato Moraes</t>
  </si>
  <si>
    <t>PORTARIA Nº 
191/2025 - 20/10/2025</t>
  </si>
  <si>
    <t>Pregão Eletrônico nº 90010/2025 SEGEP</t>
  </si>
  <si>
    <t xml:space="preserve">https://drive.google.com/file/d/1ga_1BgJKY0ZHcSD-gmUX3Kx0zLV3lU8c/view?usp=drive_link </t>
  </si>
  <si>
    <t>1282/2025</t>
  </si>
  <si>
    <t>11/2025</t>
  </si>
  <si>
    <t>PRM COMERCIO E REPRESENTACOES LTDA</t>
  </si>
  <si>
    <t>55.070.953/0001-18</t>
  </si>
  <si>
    <t>Aquisição e instalação de maquinários, destinados ao uso nas quatro Unidades de Valorização de Recicláveis (UVRs), para atendimento do Convênio nº 4500075171, celebrado com a ITAIPU Binacional (esteira de elevação, esteira plana, mesa de triagem e carrinho de big bag)</t>
  </si>
  <si>
    <t>Wladimir Monteiro Varela</t>
  </si>
  <si>
    <t>PORTARIA Nº 
215/2025 - //2025</t>
  </si>
  <si>
    <t>Pregão Eletrônico nº 90012/2025 SEGEP</t>
  </si>
  <si>
    <t xml:space="preserve">https://drive.google.com/file/d/1YA68OqCenbeEo5pnRoa9PyNrkYTdN_i0/view?usp=drive_link </t>
  </si>
  <si>
    <t>1248/2025</t>
  </si>
  <si>
    <t>12/2025</t>
  </si>
  <si>
    <t>VANGUARDA INFORMATICA LTDA</t>
  </si>
  <si>
    <t>27.975.551/0003-99</t>
  </si>
  <si>
    <t>Aquisição de aparelho de ar condicionado tipo Cassete, para atendimento do Convênio nº 4500075171, celebrado com a ITAIPU Binacional</t>
  </si>
  <si>
    <r>
      <rPr>
        <sz val="11"/>
        <color rgb="FF000000"/>
        <rFont val="Arial Narrow"/>
        <family val="2"/>
        <charset val="1"/>
      </rPr>
      <t xml:space="preserve">PORTARIA Nº 
198/2025 - </t>
    </r>
    <r>
      <rPr>
        <sz val="11"/>
        <color rgb="FFFF0000"/>
        <rFont val="Arial Narrow"/>
        <family val="2"/>
        <charset val="1"/>
      </rPr>
      <t>24</t>
    </r>
    <r>
      <rPr>
        <sz val="11"/>
        <color rgb="FF000000"/>
        <rFont val="Arial Narrow"/>
        <family val="2"/>
        <charset val="1"/>
      </rPr>
      <t>/10/2025</t>
    </r>
  </si>
  <si>
    <t>Adesão à Ata de Registro de Preços Nº 53/2025 - Procuradoria Geral de Justiça - PGJ/MP/MA</t>
  </si>
  <si>
    <t xml:space="preserve">https://drive.google.com/file/d/1DhSoznl4KRKLXPV90mNazT0nNO1xIN8u/view?usp=drive_link </t>
  </si>
  <si>
    <t>1287/2025</t>
  </si>
  <si>
    <t>13/2025</t>
  </si>
  <si>
    <t>ALLOY COMÉRCIO DE MÁQUINAS E EQUIPAMENTOS LTDA</t>
  </si>
  <si>
    <t>11.488.758/0001-37</t>
  </si>
  <si>
    <t>Aquisição e instalação de maquinários, destinados ao uso nas quatro Unidades de Valorização de Recicláveis (UVRs), para atendimento do Convênio nº 4500075171, celebrado com a ITAIPU Binacional (empilhadeira)</t>
  </si>
  <si>
    <t>PORTARIA Nº 
216/2025 - //2025</t>
  </si>
  <si>
    <t xml:space="preserve">https://drive.google.com/file/d/1UEYCBHzxpoH4h5FkjZUKlgJLj7KEQwDr/view?usp=drive_link </t>
  </si>
  <si>
    <t>1279/2025</t>
  </si>
  <si>
    <t>14/2025</t>
  </si>
  <si>
    <t>BELÉM RIO SEGURANÇA LTDA</t>
  </si>
  <si>
    <t>17.433.496/0001-90</t>
  </si>
  <si>
    <t>Serviços de Vigilância armada (1 posto)</t>
  </si>
  <si>
    <t>José Marcelo Alves Pimenta</t>
  </si>
  <si>
    <t>Raissa Marcelly Tavares Fernandes</t>
  </si>
  <si>
    <t>PORTARIA Nº 
211/2025 - 12/11/2025</t>
  </si>
  <si>
    <t>Pregão Eletrônico nº 90007/2025 SEGEP</t>
  </si>
  <si>
    <t xml:space="preserve">https://drive.google.com/file/d/1LBG3L_ILabiOCM_L1oD8PxwwSfsp9cxj/view?usp=drive_link </t>
  </si>
  <si>
    <t>1336/2025</t>
  </si>
  <si>
    <t>15/2025</t>
  </si>
  <si>
    <t>LOCDESK LOCAÇÃO DE EQUIPAMENTOS E SOLUÇÕES EM INFORMÁTICA LTDA</t>
  </si>
  <si>
    <t>17.811.328/0001-90</t>
  </si>
  <si>
    <t>Serviços de Locação de impressoras</t>
  </si>
  <si>
    <t>Olavo Bahia Neves Neto</t>
  </si>
  <si>
    <t>PORTARIA Nº 
212/2025 - 12/11/2025</t>
  </si>
  <si>
    <t>Pregão Eletrônico Nº 90009/2025</t>
  </si>
  <si>
    <t xml:space="preserve">https://drive.google.com/file/d/1_2RTiOCETTHZkxvvWXqrIwyorTKb1k1t/view?usp=drive_link </t>
  </si>
  <si>
    <t>1349/2025</t>
  </si>
  <si>
    <t>16/2025</t>
  </si>
  <si>
    <t>IURI RIBEIRO LTDA</t>
  </si>
  <si>
    <t>15.461.261/0001-86</t>
  </si>
  <si>
    <t>Aquisição e instalação de maquinários, destinados ao uso nas quatro Unidades de Valorização de Recicláveis (UVRs), para atendimento do Convênio nº 4500075171, celebrado com a ITAIPU Binacional (prensa hidráulica vertical)</t>
  </si>
  <si>
    <t>PORTARIA Nº 
247/2025 - 04/12/2025</t>
  </si>
  <si>
    <t xml:space="preserve">https://drive.google.com/file/d/1X4fqbfhaDcnyBLMCRZwlWS8Ma7e_Dfao/view?usp=drive_link </t>
  </si>
  <si>
    <t>1354/2025</t>
  </si>
  <si>
    <t>17/2025</t>
  </si>
  <si>
    <t>BDR COMÉRCIO DE EQUIPAMENTOS LTDA</t>
  </si>
  <si>
    <t>52.496.119/0001-09</t>
  </si>
  <si>
    <t>Aquisição e instalação de maquinários, destinados ao uso nas quatro Unidades de Valorização de Recicláveis (UVRs), para atendimento do Convênio nº 4500075171, celebrado com a ITAIPU Binacional (balança digital com rampa)</t>
  </si>
  <si>
    <t>PORTARIA Nº 
246/2025 - 04/12/2025</t>
  </si>
  <si>
    <t xml:space="preserve">https://drive.google.com/file/d/1lJyjJkCYiNRFXocygSijiv6ecZD4IFZ5/view?usp=drive_link </t>
  </si>
  <si>
    <t>1350/2025</t>
  </si>
  <si>
    <t>18/2025</t>
  </si>
  <si>
    <t>Serviços de Vigilância armada (2 postos)</t>
  </si>
  <si>
    <t xml:space="preserve">https://drive.google.com/file/d/1e-_G1kVQdrz_r1SvBrWf4r29epKfa0s8/view?usp=drive_link </t>
  </si>
  <si>
    <t>943/2025</t>
  </si>
  <si>
    <t>19/2025</t>
  </si>
  <si>
    <t xml:space="preserve">PONTES COMÉRCIO VAREJISTA DE AUTO PEÇAS, SERVIÇOS, MANUTENÇÃO E LOGÍSTICA LTDA </t>
  </si>
  <si>
    <t>04.688.587/0001-24</t>
  </si>
  <si>
    <t>Serviços de locação de veículos</t>
  </si>
  <si>
    <t>Adesão à Ata de Registro de Preços Nº 27/2024 - Prefeitura do Acará</t>
  </si>
  <si>
    <t xml:space="preserve">https://drive.google.com/file/d/1YOgsmtvadull2oGyhvaJB0gur3l1cocw/view?usp=drive_link </t>
  </si>
  <si>
    <t>1232/2025</t>
  </si>
  <si>
    <t>20/2025</t>
  </si>
  <si>
    <t>BAUHAUS PROJECT MANAGER LTDA</t>
  </si>
  <si>
    <t>Serviços de pavimentação asfáltica (Prommaf)</t>
  </si>
  <si>
    <t>PORTARIA Nº 258/2025 - 15/12/2025</t>
  </si>
  <si>
    <t>Adesão à Ata de Registro de Preços Nº 15/2025 - Prefeitura de Ourilândia do Norte</t>
  </si>
  <si>
    <t xml:space="preserve">https://drive.google.com/file/d/1Xzrso3B789FxBTwL6DeV7b6fGLrxWQfR/view?usp=drive_link </t>
  </si>
  <si>
    <t>63/2026</t>
  </si>
  <si>
    <t>Termo de Inexigibilidade nº 02/2026</t>
  </si>
  <si>
    <t>IMPRENSA NACIONAL</t>
  </si>
  <si>
    <t>04.196.645/0001-00</t>
  </si>
  <si>
    <t>Publicações no DOU</t>
  </si>
  <si>
    <t>Inexigibilidade, art. 74, I</t>
  </si>
  <si>
    <t>Termo de Inexigibilidade</t>
  </si>
  <si>
    <t>https://drive.google.com/file/d/1PiE4_YhzZQqKGXHLtJUe5IicEYRAIb9T/view?usp=drive_link</t>
  </si>
  <si>
    <t>1470/2025</t>
  </si>
  <si>
    <t>02/2026</t>
  </si>
  <si>
    <t>INSTITUTO AQUILA DE GESTAO LTDA</t>
  </si>
  <si>
    <t>14.377.211/0001-52</t>
  </si>
  <si>
    <t>Serviços de consultoria/auditoria técnica destinados ao aprimoramento dos processos de gestão administrativa</t>
  </si>
  <si>
    <t>Isabella Collares de Lima Cavalcante</t>
  </si>
  <si>
    <t>Suene Lima Colonnelli</t>
  </si>
  <si>
    <t>PORTARIA Nº 
908/2026 - 13/03/2026</t>
  </si>
  <si>
    <t>Inexigibilidade - Art. 74, inciso III, "c"</t>
  </si>
  <si>
    <t xml:space="preserve">https://drive.google.com/file/d/1cDwpqY-cDXOO97t0XKhcgg_466mD2JpT/view?usp=drive_link </t>
  </si>
  <si>
    <t>287/2026</t>
  </si>
  <si>
    <t>03/2026</t>
  </si>
  <si>
    <t>NP TECNOLOGIA E GESTÃO DE DADOS LTDA</t>
  </si>
  <si>
    <t>07.797.967/0001-95</t>
  </si>
  <si>
    <t>Banco de Preços</t>
  </si>
  <si>
    <t>Luiz Fernando Pereira Cunha Júnior</t>
  </si>
  <si>
    <t>Marilene Carvalho Silva</t>
  </si>
  <si>
    <t>PORTARIA Nº 
1015/2026 - 26/03/2026</t>
  </si>
  <si>
    <t>https://drive.google.com/file/d/1u3OW1dmbabAzDiClsfzYAc2WujEnGpwj/view?usp=drive_link</t>
  </si>
  <si>
    <t>662/2026</t>
  </si>
  <si>
    <t>04/2026</t>
  </si>
  <si>
    <t>PONTES COMÉRCIO VAREJISTA DE AUTO PEÇAS, SERVIÇOS, MANUTENÇÃO E LOGÍSTICA LTDA</t>
  </si>
  <si>
    <t>Locação de Veículo para o escritório administrativo da Prefeitura Municipal de Belém em Brasília/DF</t>
  </si>
  <si>
    <t>Carlos Santos Manzini Junior</t>
  </si>
  <si>
    <t>Manoel Souza Lopes</t>
  </si>
  <si>
    <t>PORTARIA Nº 1137 /2026 - 15/04/2026</t>
  </si>
  <si>
    <t>Legenda:</t>
  </si>
  <si>
    <t>Corporativos</t>
  </si>
  <si>
    <t>N° DA NE</t>
  </si>
  <si>
    <t>DATA DE ASSINATURA</t>
  </si>
  <si>
    <t>554/2025</t>
  </si>
  <si>
    <t>NE 000381/2025</t>
  </si>
  <si>
    <t>TITANS COMERCIAL E CONTRUÇOES LTDA</t>
  </si>
  <si>
    <t>47.669.109/0001-80</t>
  </si>
  <si>
    <t>Materiais descartáveis e utensílios - garfo, faca, isqueiro e luva</t>
  </si>
  <si>
    <t>José Gabriel de França Torres</t>
  </si>
  <si>
    <t>PORTARIA Nº 146/2025 - 01/08/2025</t>
  </si>
  <si>
    <t>14.133/21</t>
  </si>
  <si>
    <t>555/2025</t>
  </si>
  <si>
    <t>NE 000382/2025</t>
  </si>
  <si>
    <t>POLY COMERCIO E SERVIÇOS LTDA</t>
  </si>
  <si>
    <t>97.540.729/0001-92</t>
  </si>
  <si>
    <t>Materiais descartáveis e utensílios - pratos descartáveis</t>
  </si>
  <si>
    <t>PORTARIA Nº 148/2025 - 01/08/2025</t>
  </si>
  <si>
    <t>617/2025</t>
  </si>
  <si>
    <t>NE 000383/2025</t>
  </si>
  <si>
    <t>DISTRIBUIDORA MESQUITA LTDA</t>
  </si>
  <si>
    <t>55.346.592/0001-90</t>
  </si>
  <si>
    <t>Materiais descartáveis e utensílios - garrafa térmica</t>
  </si>
  <si>
    <t>PORTARIA Nº 145/2025 - 01/08/2025</t>
  </si>
  <si>
    <t>N° DO
INSTRUMENTO</t>
  </si>
  <si>
    <t>NATUREZA</t>
  </si>
  <si>
    <t>PARTE</t>
  </si>
  <si>
    <t>PRESTAÇÃO DE CONTAS</t>
  </si>
  <si>
    <t>01/2024</t>
  </si>
  <si>
    <t>Convênio</t>
  </si>
  <si>
    <t>UNIVERSIDADE FEDERAL DO PARÁ-UFPA E FUNDAÇÃO DE AMPARO E DESENVOLVIMENTO DA PESQUISA - FADESP</t>
  </si>
  <si>
    <t>Execução pela UFPA do Projeto Oficina do Futuro:
Educação em Tecnologia para Jovens Programadores</t>
  </si>
  <si>
    <t>Nº DA ARP</t>
  </si>
  <si>
    <t>24/2022</t>
  </si>
  <si>
    <t>MILANFLEX INDÚSTRIA E COMÉRCIO DE MÓVEIS E EQUIPAMENTOS LTDA</t>
  </si>
  <si>
    <t>86.729.324/0002-61</t>
  </si>
  <si>
    <t>Aquisição de Mobiliários</t>
  </si>
  <si>
    <t>60/2024</t>
  </si>
  <si>
    <t>VIDA COMÉRCIO DE BEBIDAS LTDA</t>
  </si>
  <si>
    <t>19.142.862/0001-87</t>
  </si>
  <si>
    <t>Aquisição de Água Mineral - Garrafão 20L</t>
  </si>
  <si>
    <t>01/2025</t>
  </si>
  <si>
    <t>Aquisição de Água Mineral - Copos 200ml e Granados 300ml</t>
  </si>
  <si>
    <t>H2 O DISTRIBUIDORA LTDA</t>
  </si>
  <si>
    <t>29.515.982/0001-36</t>
  </si>
  <si>
    <t>Aquisição de Água Mineral - Garrafa 300ml</t>
  </si>
  <si>
    <t>236/2024</t>
  </si>
  <si>
    <t xml:space="preserve"> </t>
  </si>
  <si>
    <t>191/2024</t>
  </si>
  <si>
    <t>INFINITI EMPREENDIMENTOS LTDA</t>
  </si>
  <si>
    <t>23.829.339/0001-09</t>
  </si>
  <si>
    <t>Aquisição de descartáveis e utensílios - Touca e Máscara descartável</t>
  </si>
  <si>
    <t>Aquisição de descartáveis e utensílios - Papel toalha interfolhado</t>
  </si>
  <si>
    <t>Aquisição de descartáveis e utensílios - Copos e Luvas</t>
  </si>
  <si>
    <t>Aquisição de descartáveis e utensílios - Garfo, faca, dispenser, filtro de papel, isqueiro e luva descartável</t>
  </si>
  <si>
    <t>POLY COMERCIO E SERVICOS LTDA</t>
  </si>
  <si>
    <t>Aquisição de descartáveis e utensílios - pratos descartáveis</t>
  </si>
  <si>
    <t>Aquisição de descartáveis e utensílios - Garrafa Térmica 1000ml e 1800ml</t>
  </si>
  <si>
    <t>123/2025</t>
  </si>
  <si>
    <t>Serviços de Vigilância Patrimonial Armada e Desarmada</t>
  </si>
  <si>
    <t>125/2025</t>
  </si>
  <si>
    <t>KAPA CAPITAL FACILITIES LTDA</t>
  </si>
  <si>
    <t>13.279.768/0001-98</t>
  </si>
  <si>
    <t>Serviços de Limpeza e Conservação com Fornecimento de Material</t>
  </si>
  <si>
    <t>066/2019</t>
  </si>
  <si>
    <t>01/2021</t>
  </si>
  <si>
    <t>ELITE SERVIÇOS DE SEGURANÇA EIRELI</t>
  </si>
  <si>
    <t>00.865.761/0001-06</t>
  </si>
  <si>
    <t>Prestação de serviços de vigilância ostensiva armada</t>
  </si>
  <si>
    <t>1º TA - Prorrogação de prazo;
2º TA - Prorrogação de prazo;
3º TA - Prorrogação de prazo</t>
  </si>
  <si>
    <t>03/2021</t>
  </si>
  <si>
    <t>IGOR RUSSEF ROSA EIRELI</t>
  </si>
  <si>
    <t>Prestação de serviço de locação de veículos automotores de grande, pequeno e médio porte</t>
  </si>
  <si>
    <t>05/2021</t>
  </si>
  <si>
    <t>MIDIA CENTER SERVIÇOS DE PRODUÇÃO MUSICAL, CINEMATOGRÁFICA E EVENTOS EIRELI</t>
  </si>
  <si>
    <t>Prestação de serviços de locação de aparelhamento para eventos diversos</t>
  </si>
  <si>
    <t>07/2021</t>
  </si>
  <si>
    <t>ARRAIS SERVIÇOS MECÂNICOS, CONSTRUÇÃO, CONSERVAÇÃO E LOGÍSTICA EIRELI</t>
  </si>
  <si>
    <t>Prestação de serviços de locação de microonibus</t>
  </si>
  <si>
    <t>276/2022</t>
  </si>
  <si>
    <t>07/2022</t>
  </si>
  <si>
    <t>DADY ILHA SOLUÇÕES INTEGRADAS EIRELI</t>
  </si>
  <si>
    <t>08.540.992/0001-51</t>
  </si>
  <si>
    <t>Serviços de reprografia, com disponibilização de equipamentos, incluindo a prestação de serviços de suporte e manutenção preventiva e corretiva com fornecimento de peças, suprimentos (todos os consumíveis necessários) inclusive papel A4, A3 e Ofício 2 e rolo para plotter, contemplando hardware e software para essa função e disponibilizando atendimento técnico telefônico</t>
  </si>
  <si>
    <t>PORTARIA Nº 0174/2022 – 02/12/2022</t>
  </si>
  <si>
    <t>1º TA - Alteração do CNPJ
2º TA - Prorrogação de prazo
3º TA - Prorrogação e Reajuste</t>
  </si>
  <si>
    <t>158/2025</t>
  </si>
  <si>
    <t>29/2022</t>
  </si>
  <si>
    <t>OI S/A (EM RECUPERAÇÃO JUDICIAL)</t>
  </si>
  <si>
    <t>76.535.764/0001-43</t>
  </si>
  <si>
    <t>Constitui objeto do presente CONTRATO a contratação de empresa especializada na prestação do serviço de Plataforma PABX IP em Nuvem, incluindo os recursos de acesso ao STFC com Tráfego Fixo-Fixo e Fixo-Móvel NACIONAL ILIMITADO, bem como o acesso à
plataforma em nuvem via link Internet dedicado, com os serviços de instalação, configuração, suporte, manutenção etreinamento, conforme especificações constantes no Termo de Referência, com vistas a atender às necessidades e interesses da Prefeitura
Municipal de Rio Branco.</t>
  </si>
  <si>
    <t>RAISSA MARCELLY TAVARES FERNANDES</t>
  </si>
  <si>
    <t>PORTARIA Nº 25/2025 - 31/03/2025</t>
  </si>
  <si>
    <t>Adesão à ARP</t>
  </si>
  <si>
    <t>4º TA - Alteração da titularidade da contratante</t>
  </si>
  <si>
    <t>01/2023</t>
  </si>
  <si>
    <t>ARGS DISTRIBUIDORA DE EQUIPAMENTOS ELETRO-ELETRONICOS EIRELI-ME</t>
  </si>
  <si>
    <t>Fornecimento de materiais de higiene e limpeza</t>
  </si>
  <si>
    <t>02/2023</t>
  </si>
  <si>
    <t>NEO BRS COMÉRCIO DE ELETRODOMÉSTICOS LTDA</t>
  </si>
  <si>
    <t>03/2023</t>
  </si>
  <si>
    <t>SML - SISTEMAS MULTI LIMPEZA INDUSTRIA E COMERCIO LTDA</t>
  </si>
  <si>
    <t>04/2023</t>
  </si>
  <si>
    <t>DISTRIBUIDORA PROGRESSO COMERCIO DE ALIMENTOS EM GERAL LTDA</t>
  </si>
  <si>
    <t>05/2023</t>
  </si>
  <si>
    <t>STAR COMERCIO DE ALIMENTOS LTDA</t>
  </si>
  <si>
    <t>012/2023</t>
  </si>
  <si>
    <t>PER CAPTA CONSULTORIA, ENSINO, MARKETING, PUBLICAÇÕES E PESQUISA LTDA</t>
  </si>
  <si>
    <t>Prestação de serviços de consultoria</t>
  </si>
  <si>
    <t>014/2023</t>
  </si>
  <si>
    <t>Y. M. GORAYEB SANTOS ME</t>
  </si>
  <si>
    <t>Fornecimento de Gás Liquefeito de Petróleo</t>
  </si>
  <si>
    <t>016/2023</t>
  </si>
  <si>
    <t xml:space="preserve">VIDA E COMÉRCIO DE BEBIDAS </t>
  </si>
  <si>
    <t>Fornecimento de Água Mineral</t>
  </si>
  <si>
    <t>1º TA - Aditivo de 25%</t>
  </si>
  <si>
    <t>018/2023</t>
  </si>
  <si>
    <t xml:space="preserve">SAN DYEGO COMÉRCIO </t>
  </si>
  <si>
    <t>Aquisição e/ou instalação de equipamentos de refrigeração (ar-condicionado)</t>
  </si>
  <si>
    <t>019/2023</t>
  </si>
  <si>
    <t xml:space="preserve">FUNDAÇÃO DE AMPARO E DESENVOLVIMENTO DA PESQUISA </t>
  </si>
  <si>
    <t>Prestação de serviço especializado de consultoria visando a elaboração de subsídios técnicos e analíticos para a revisão do Plano Diretor do Município de Belém.</t>
  </si>
  <si>
    <t>020/2023</t>
  </si>
  <si>
    <t xml:space="preserve">JBMH DISTRIBUIDORA </t>
  </si>
  <si>
    <t>Aquisição de equipamentos de eletrodomésticos e utensílios de cozinha</t>
  </si>
  <si>
    <t>024/2023</t>
  </si>
  <si>
    <t>HARD SOLUTION INFORMÁTICA LTDA</t>
  </si>
  <si>
    <t>Aquisição de equipamentos e material de telefonia e informática</t>
  </si>
  <si>
    <t>025/2023</t>
  </si>
  <si>
    <t>INTERBRASIL COMERCIAL LTDA</t>
  </si>
  <si>
    <t>026/2023</t>
  </si>
  <si>
    <t>LDC TECNOLOGIA LTDA</t>
  </si>
  <si>
    <t>027/2023</t>
  </si>
  <si>
    <t>HYPER TECHNOLOGIES COMÉRCIO DE INFORMÁTICA E SERVIÇOS EIRELLI</t>
  </si>
  <si>
    <t>029/2023</t>
  </si>
  <si>
    <t>JSL COMÉRCIO DE MATERIAL DE EXPEDIENTE LTDA</t>
  </si>
  <si>
    <t>031/2023</t>
  </si>
  <si>
    <t>POSITIVO TECNOLOGIA S/A</t>
  </si>
  <si>
    <t>025/2024</t>
  </si>
  <si>
    <t>OFICINA DO FUTURO</t>
  </si>
  <si>
    <t>Aquisição de 90 (noventa) tablets</t>
  </si>
  <si>
    <t>Dispensa</t>
  </si>
  <si>
    <t>728/2023</t>
  </si>
  <si>
    <t>GUAJARÁ COMÉRCIO E
SERVIÇOS LTDA</t>
  </si>
  <si>
    <t>07.931.806/0001-42</t>
  </si>
  <si>
    <t>Aquisição de Materiais de Expediente e Escritório</t>
  </si>
  <si>
    <t>PORTARIA Nº 27/2024 - 24/02/2024</t>
  </si>
  <si>
    <t>716/2023</t>
  </si>
  <si>
    <t>02/2024</t>
  </si>
  <si>
    <t>NOVIDADES CABANO COMÉRCIO DE ARTIGOS DE PAPELARIA EIRELI</t>
  </si>
  <si>
    <t>05.194.705/0001-00</t>
  </si>
  <si>
    <t>PORTARIA Nº 019/2024</t>
  </si>
  <si>
    <t>79/2024</t>
  </si>
  <si>
    <t>03/2024</t>
  </si>
  <si>
    <t>TRÊS CORAÇÕES 
ALIMENTOS S/A</t>
  </si>
  <si>
    <t>63.310.411/0020 66</t>
  </si>
  <si>
    <t>Aquisição de Gêneros Alimentícios Não Perecíveis (Café)</t>
  </si>
  <si>
    <t>José Ribamar Reis Conceição</t>
  </si>
  <si>
    <t>PORTARIA Nº 26/2024</t>
  </si>
  <si>
    <t>83/2024</t>
  </si>
  <si>
    <t>04/2024</t>
  </si>
  <si>
    <t>3 E SERVIÇOS E COMÉRCIO DE ALIMENTOS EIRELI</t>
  </si>
  <si>
    <t>33.734.346/0001-72</t>
  </si>
  <si>
    <t>Aquisição de Materiais de Higiene e Limpeza</t>
  </si>
  <si>
    <t>PORTARIA Nº 20/2024 - 23/02/2024</t>
  </si>
  <si>
    <t>242/2022</t>
  </si>
  <si>
    <t>05/2024</t>
  </si>
  <si>
    <t xml:space="preserve">PROTEGGERE INDÚSTRIA E COMÉRCIO DE EPI`S EIRELI        </t>
  </si>
  <si>
    <t>12.670.981/0001-63</t>
  </si>
  <si>
    <t>Aquisição de Material de Higiene e Limpeza</t>
  </si>
  <si>
    <t>PORTARIA Nº 21/2024 - 23/02/2024</t>
  </si>
  <si>
    <t>80/2024</t>
  </si>
  <si>
    <t>06/2024</t>
  </si>
  <si>
    <t>MUNDIAL COMÉRCIO DE ALIMENTOS E DESCARTÁVEIS LTDA</t>
  </si>
  <si>
    <t>40.437.772/0001-00</t>
  </si>
  <si>
    <t>Aquisição de Gêneros Alimentícios Não Perecíveis (Açúcar)</t>
  </si>
  <si>
    <t>PORTARIA Nº 25/2024 - 23/02/2024</t>
  </si>
  <si>
    <t>754/2022</t>
  </si>
  <si>
    <t>07/2024</t>
  </si>
  <si>
    <t>M J DE A COSTA LTDA</t>
  </si>
  <si>
    <t>30.849.084/0001-01</t>
  </si>
  <si>
    <t>Aquisição de equipamentos e material de telefonia e informática (nobreaks)</t>
  </si>
  <si>
    <t>PORTARIA Nº 204/2023</t>
  </si>
  <si>
    <t>752/2023</t>
  </si>
  <si>
    <t>08/2024</t>
  </si>
  <si>
    <t>MICROTÉCNICA INFORMÁTICA LTDA</t>
  </si>
  <si>
    <t>01.590.728/0009-30</t>
  </si>
  <si>
    <t>09/2024</t>
  </si>
  <si>
    <t>SOUSA E SILVA COMÉRCIO DE ALIMENTOS EM GERAL LTDA</t>
  </si>
  <si>
    <t>05.154.476/0001-09</t>
  </si>
  <si>
    <t>PORTARIA Nº 35/2024</t>
  </si>
  <si>
    <t>95/2024</t>
  </si>
  <si>
    <t>010/2024</t>
  </si>
  <si>
    <t>ARGS DISTRIBUIDORA DE EQUIPAMENTOS ELETRO – ELETRÔNICOS EIRELI – ME</t>
  </si>
  <si>
    <t>20.274.219/0001-96</t>
  </si>
  <si>
    <t>PORTARIA Nº 038/2024</t>
  </si>
  <si>
    <t>103/2024</t>
  </si>
  <si>
    <t>011/2024</t>
  </si>
  <si>
    <t>VIRTUE COMERCIO LTDA</t>
  </si>
  <si>
    <t>42.600.732/0001-62</t>
  </si>
  <si>
    <t>PORTARIA Nº 040/2024</t>
  </si>
  <si>
    <t>42/2023</t>
  </si>
  <si>
    <t>012/2024</t>
  </si>
  <si>
    <t>STAR COMÉRCIO DE ALIMENTOS LTDA - ME</t>
  </si>
  <si>
    <t>23.146.066/0001 90</t>
  </si>
  <si>
    <t>136/2024</t>
  </si>
  <si>
    <t>013/2024</t>
  </si>
  <si>
    <t>SOLUTTI - SOLUÇÕES EM NEGÓCIOS INTELIGENTES S/A</t>
  </si>
  <si>
    <t>09.461.647/0001-95</t>
  </si>
  <si>
    <t>Prestação de serviço de certificação digital para pessoa física e/ou jurídica</t>
  </si>
  <si>
    <t>1º TA - Acréscimo de 25%</t>
  </si>
  <si>
    <t>153/2024</t>
  </si>
  <si>
    <t>014/2024</t>
  </si>
  <si>
    <t>IMPRENSA OFICIAL DO ESTADO DO PARÁ - IOEPA</t>
  </si>
  <si>
    <t xml:space="preserve">04.835.476/0001-01  </t>
  </si>
  <si>
    <t>Publicações no Diário Oficial do Estado do Pará</t>
  </si>
  <si>
    <t>PORTARIA Nº 081/2024 - 16/05/2024</t>
  </si>
  <si>
    <t>Inexigibilidade, Art. 74, inciso I</t>
  </si>
  <si>
    <t>241/2024</t>
  </si>
  <si>
    <t>015/2024</t>
  </si>
  <si>
    <t>PORTAL LICITAÇÕES MUNICIPAIS LTDA</t>
  </si>
  <si>
    <t>30.592.834/0001-02</t>
  </si>
  <si>
    <t>Prestação de serviço de capacitação continuada dos servidores municipais na Nova Lei de Licitações e Contratos (Lei n.14.133/21)</t>
  </si>
  <si>
    <t>Nédia Cristina Alves Rodrigues</t>
  </si>
  <si>
    <t>PORTARIA Nº 103/2024</t>
  </si>
  <si>
    <t>Inexigibilidade</t>
  </si>
  <si>
    <t>332/2024</t>
  </si>
  <si>
    <t>016/2024</t>
  </si>
  <si>
    <t>Prestação de serviço de locação mensal de veículos, com quilometragem livre, com e sem motorista e sem fornecimento de combustível</t>
  </si>
  <si>
    <t>Carlos Eduardo Souza Siqueira</t>
  </si>
  <si>
    <t>PORTARIA Nº 136/2024</t>
  </si>
  <si>
    <t>2024/001917292 – GAB.P/PMB</t>
  </si>
  <si>
    <t>017/2024</t>
  </si>
  <si>
    <t>INSTITUTO BANCO VERMELHO</t>
  </si>
  <si>
    <t>53.306.473/0001-88</t>
  </si>
  <si>
    <t>Contratação do Instituto Banco Vermelho - Adesão ao Projeto Banco Vermelho e Concessão de Uso (adesão ao projeto que visa combater a violência contra a mulher, com a bandeira do Feminicídio Zero)</t>
  </si>
  <si>
    <t xml:space="preserve">24/2024 </t>
  </si>
  <si>
    <t>019/2024</t>
  </si>
  <si>
    <t>PORTARIA Nº 172/2024 - 13/11/2024</t>
  </si>
  <si>
    <t>Não gerou contrato</t>
  </si>
  <si>
    <t>COSANPA</t>
  </si>
  <si>
    <t>Serviços de Água e Esgoto para a SEGEP</t>
  </si>
  <si>
    <t>EQUATORIAL</t>
  </si>
  <si>
    <t>Fornecimento de Energia Elétrica</t>
  </si>
  <si>
    <t>TRIBUNAL DE CONTAS DO ESTADO DO PARÁ - TCE/PA</t>
  </si>
  <si>
    <t>Prestação de serviço de expedição de certidão de NADA CONSTA para atender as necessidades da SEGEP</t>
  </si>
  <si>
    <t>Prestação de serviços de publicação das matérias dos processos licitatórios da SEGEP</t>
  </si>
  <si>
    <t>022/2025</t>
  </si>
  <si>
    <t>Termo de Inexigibilidade nº 01/2025</t>
  </si>
  <si>
    <t>EQUATORIAL PARÁ DISTRIBUIDORA DE ENERGIA S/A</t>
  </si>
  <si>
    <t>04.895.728/0001-80</t>
  </si>
  <si>
    <t>Fornecimento de energia elétrica</t>
  </si>
  <si>
    <t>PORTARIA Nº 52/2025 - 30/04/2025</t>
  </si>
  <si>
    <t>023/2025</t>
  </si>
  <si>
    <t>Termo de Inexigibilidade nº 02/2025</t>
  </si>
  <si>
    <t>COMPANHIA DE SANEAMENTO DO PARÁ - COSANPA</t>
  </si>
  <si>
    <t>04.945.341/0001-90</t>
  </si>
  <si>
    <t>Prestação de serviço de tratamento de água e esgoto</t>
  </si>
  <si>
    <t>PORTARIA Nº 53/2025 - 30/04/2025</t>
  </si>
  <si>
    <t>024/2025</t>
  </si>
  <si>
    <t>Termo de Inexigibilidade nº 03/2025</t>
  </si>
  <si>
    <t>04.976.700/0001-77</t>
  </si>
  <si>
    <t>Prestação de serviço de expedição de certidões NADA CONSTA</t>
  </si>
  <si>
    <t>026/2025</t>
  </si>
  <si>
    <t>Termo de Inexigibilidade nº 04/2025</t>
  </si>
  <si>
    <t xml:space="preserve">IMPRENSA NACIONAL </t>
  </si>
  <si>
    <t xml:space="preserve">Prestação de serviço de publicações no Diário Oficial da União </t>
  </si>
  <si>
    <t>031/2024</t>
  </si>
  <si>
    <t>Termo de Inexigibilidade nº 05/2025</t>
  </si>
  <si>
    <t>Prestação de serviço de disponibilização de senha de acesso à ferramenta de pesquisa e comparação de preços praticados pela Administração Pública, denominada BANCO DE PREÇOS, visando atender as necessidades administrativas/institucionais da SEGEP</t>
  </si>
  <si>
    <t>Hilária Maria Silva Santiago</t>
  </si>
  <si>
    <t xml:space="preserve">https://drive.google.com/file/d/16iqhYmmulR9nZhjsgEr6Wu_y_0nXC4EG/view?usp=drive_link </t>
  </si>
  <si>
    <t>373/2025</t>
  </si>
  <si>
    <t xml:space="preserve">Antônio Marcos dos Santos Gomes </t>
  </si>
  <si>
    <t xml:space="preserve">https://drive.google.com/file/d/1iFuRiwSHja4oTN8gsBFFAN97XkUu-klG/view?usp=drive_link </t>
  </si>
</sst>
</file>

<file path=xl/styles.xml><?xml version="1.0" encoding="utf-8"?>
<styleSheet xmlns="http://schemas.openxmlformats.org/spreadsheetml/2006/main">
  <numFmts count="4">
    <numFmt numFmtId="164" formatCode="[$R$-416]\ #,##0.00\ ;\-[$R$-416]\ #,##0.00\ ;[$R$-416]&quot; -&quot;00\ ;\ @\ "/>
    <numFmt numFmtId="165" formatCode="&quot;R$ &quot;#,##0.00;[Red]&quot;-R$ &quot;#,##0.00"/>
    <numFmt numFmtId="166" formatCode="m/d/yyyy"/>
    <numFmt numFmtId="167" formatCode="[$R$-416]\ #,##0.00"/>
  </numFmts>
  <fonts count="23">
    <font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1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u/>
      <sz val="10"/>
      <color theme="10"/>
      <name val="Arial"/>
      <family val="2"/>
      <charset val="1"/>
    </font>
    <font>
      <sz val="11"/>
      <color rgb="FFFF0000"/>
      <name val="Arial Narrow"/>
      <family val="2"/>
      <charset val="1"/>
    </font>
    <font>
      <sz val="11"/>
      <color theme="1"/>
      <name val="Arial Narrow"/>
      <family val="2"/>
      <charset val="1"/>
    </font>
    <font>
      <b/>
      <sz val="9"/>
      <color rgb="FF000000"/>
      <name val="Times New Roman"/>
      <family val="1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11"/>
      <color rgb="FF333333"/>
      <name val="Arial Narrow"/>
      <family val="2"/>
      <charset val="1"/>
    </font>
    <font>
      <sz val="10"/>
      <color rgb="FF0000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DDDDD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67">
    <xf numFmtId="0" fontId="0" fillId="0" borderId="0"/>
    <xf numFmtId="164" fontId="22" fillId="0" borderId="0" applyBorder="0" applyProtection="0"/>
    <xf numFmtId="0" fontId="15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8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22" fillId="6" borderId="0" applyBorder="0" applyProtection="0"/>
    <xf numFmtId="0" fontId="22" fillId="7" borderId="0" applyBorder="0" applyProtection="0"/>
    <xf numFmtId="0" fontId="22" fillId="8" borderId="0" applyBorder="0" applyProtection="0"/>
    <xf numFmtId="0" fontId="1" fillId="9" borderId="0" applyBorder="0" applyProtection="0"/>
    <xf numFmtId="0" fontId="4" fillId="0" borderId="0" applyBorder="0" applyProtection="0"/>
    <xf numFmtId="0" fontId="5" fillId="10" borderId="0" applyBorder="0" applyProtection="0"/>
    <xf numFmtId="0" fontId="6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11" borderId="0" applyBorder="0" applyProtection="0"/>
    <xf numFmtId="0" fontId="11" fillId="11" borderId="1" applyProtection="0"/>
    <xf numFmtId="0" fontId="12" fillId="0" borderId="0" applyBorder="0" applyProtection="0"/>
    <xf numFmtId="0" fontId="22" fillId="0" borderId="0" applyBorder="0" applyProtection="0"/>
    <xf numFmtId="0" fontId="22" fillId="0" borderId="0" applyBorder="0" applyProtection="0"/>
    <xf numFmtId="0" fontId="3" fillId="0" borderId="0" applyBorder="0" applyProtection="0"/>
  </cellStyleXfs>
  <cellXfs count="220">
    <xf numFmtId="0" fontId="0" fillId="0" borderId="0" xfId="0"/>
    <xf numFmtId="0" fontId="13" fillId="13" borderId="2" xfId="0" applyFont="1" applyFill="1" applyBorder="1" applyAlignment="1">
      <alignment horizontal="center" vertical="center" wrapText="1"/>
    </xf>
    <xf numFmtId="164" fontId="14" fillId="13" borderId="2" xfId="1" applyFont="1" applyFill="1" applyBorder="1" applyAlignment="1" applyProtection="1">
      <alignment horizontal="center" vertical="center" wrapText="1"/>
    </xf>
    <xf numFmtId="164" fontId="13" fillId="13" borderId="2" xfId="1" applyFont="1" applyFill="1" applyBorder="1" applyAlignment="1" applyProtection="1">
      <alignment horizontal="center" vertical="center" wrapText="1"/>
    </xf>
    <xf numFmtId="0" fontId="13" fillId="14" borderId="2" xfId="1" applyNumberFormat="1" applyFont="1" applyFill="1" applyBorder="1" applyAlignment="1" applyProtection="1">
      <alignment horizontal="center" vertical="center" wrapText="1"/>
    </xf>
    <xf numFmtId="166" fontId="13" fillId="13" borderId="3" xfId="0" applyNumberFormat="1" applyFont="1" applyFill="1" applyBorder="1" applyAlignment="1">
      <alignment horizontal="center" vertical="center" wrapText="1"/>
    </xf>
    <xf numFmtId="166" fontId="13" fillId="13" borderId="2" xfId="0" applyNumberFormat="1" applyFont="1" applyFill="1" applyBorder="1" applyAlignment="1">
      <alignment horizontal="center" vertical="center" wrapText="1"/>
    </xf>
    <xf numFmtId="165" fontId="14" fillId="13" borderId="2" xfId="0" applyNumberFormat="1" applyFont="1" applyFill="1" applyBorder="1" applyAlignment="1">
      <alignment horizontal="center" vertical="center" wrapText="1"/>
    </xf>
    <xf numFmtId="49" fontId="13" fillId="13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4" fillId="12" borderId="3" xfId="1" applyNumberFormat="1" applyFont="1" applyFill="1" applyBorder="1" applyAlignment="1" applyProtection="1">
      <alignment horizontal="center" vertical="center" textRotation="90" wrapText="1"/>
    </xf>
    <xf numFmtId="0" fontId="14" fillId="12" borderId="2" xfId="0" applyFont="1" applyFill="1" applyBorder="1" applyAlignment="1">
      <alignment horizontal="center" vertical="center" wrapText="1"/>
    </xf>
    <xf numFmtId="164" fontId="14" fillId="4" borderId="2" xfId="1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49" fontId="13" fillId="0" borderId="0" xfId="0" applyNumberFormat="1" applyFont="1"/>
    <xf numFmtId="0" fontId="14" fillId="0" borderId="0" xfId="0" applyFont="1"/>
    <xf numFmtId="0" fontId="13" fillId="0" borderId="0" xfId="0" applyFont="1"/>
    <xf numFmtId="164" fontId="13" fillId="0" borderId="0" xfId="1" applyFont="1" applyBorder="1" applyAlignment="1" applyProtection="1">
      <alignment wrapText="1"/>
    </xf>
    <xf numFmtId="164" fontId="13" fillId="0" borderId="0" xfId="1" applyFont="1" applyBorder="1" applyProtection="1"/>
    <xf numFmtId="0" fontId="13" fillId="0" borderId="0" xfId="1" applyNumberFormat="1" applyFont="1" applyBorder="1" applyProtection="1"/>
    <xf numFmtId="0" fontId="14" fillId="4" borderId="2" xfId="0" applyFont="1" applyFill="1" applyBorder="1" applyAlignment="1">
      <alignment horizontal="center" vertical="center" wrapText="1"/>
    </xf>
    <xf numFmtId="49" fontId="13" fillId="13" borderId="2" xfId="0" applyNumberFormat="1" applyFont="1" applyFill="1" applyBorder="1" applyAlignment="1">
      <alignment horizontal="center" vertical="center" wrapText="1"/>
    </xf>
    <xf numFmtId="165" fontId="14" fillId="13" borderId="2" xfId="0" applyNumberFormat="1" applyFont="1" applyFill="1" applyBorder="1" applyAlignment="1">
      <alignment horizontal="center" vertical="center" wrapText="1"/>
    </xf>
    <xf numFmtId="166" fontId="13" fillId="13" borderId="2" xfId="0" applyNumberFormat="1" applyFont="1" applyFill="1" applyBorder="1" applyAlignment="1">
      <alignment horizontal="center" vertical="center" wrapText="1"/>
    </xf>
    <xf numFmtId="0" fontId="13" fillId="14" borderId="2" xfId="1" applyNumberFormat="1" applyFont="1" applyFill="1" applyBorder="1" applyAlignment="1" applyProtection="1">
      <alignment horizontal="center" vertical="center" wrapText="1"/>
    </xf>
    <xf numFmtId="164" fontId="13" fillId="13" borderId="2" xfId="1" applyFont="1" applyFill="1" applyBorder="1" applyAlignment="1" applyProtection="1">
      <alignment horizontal="center" vertical="center" wrapText="1"/>
    </xf>
    <xf numFmtId="164" fontId="14" fillId="13" borderId="2" xfId="1" applyFont="1" applyFill="1" applyBorder="1" applyAlignment="1" applyProtection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left" vertical="center"/>
    </xf>
    <xf numFmtId="0" fontId="14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vertical="center" wrapText="1"/>
    </xf>
    <xf numFmtId="0" fontId="15" fillId="13" borderId="2" xfId="2" applyFont="1" applyFill="1" applyBorder="1" applyAlignment="1" applyProtection="1">
      <alignment vertical="center"/>
    </xf>
    <xf numFmtId="49" fontId="13" fillId="14" borderId="2" xfId="0" applyNumberFormat="1" applyFont="1" applyFill="1" applyBorder="1" applyAlignment="1">
      <alignment horizontal="center" vertical="center" wrapText="1"/>
    </xf>
    <xf numFmtId="49" fontId="13" fillId="14" borderId="4" xfId="0" applyNumberFormat="1" applyFont="1" applyFill="1" applyBorder="1" applyAlignment="1">
      <alignment horizontal="center" vertical="center" wrapText="1"/>
    </xf>
    <xf numFmtId="165" fontId="14" fillId="14" borderId="4" xfId="0" applyNumberFormat="1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164" fontId="13" fillId="14" borderId="2" xfId="1" applyFont="1" applyFill="1" applyBorder="1" applyAlignment="1" applyProtection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5" fillId="0" borderId="2" xfId="2" applyFont="1" applyBorder="1" applyAlignment="1" applyProtection="1">
      <alignment vertical="center"/>
    </xf>
    <xf numFmtId="0" fontId="13" fillId="14" borderId="2" xfId="0" applyFont="1" applyFill="1" applyBorder="1" applyAlignment="1">
      <alignment horizontal="left" vertical="top" wrapText="1"/>
    </xf>
    <xf numFmtId="0" fontId="15" fillId="0" borderId="2" xfId="2" applyFont="1" applyBorder="1" applyAlignment="1" applyProtection="1">
      <alignment horizontal="left" vertical="center" wrapText="1"/>
    </xf>
    <xf numFmtId="0" fontId="13" fillId="14" borderId="0" xfId="0" applyFont="1" applyFill="1"/>
    <xf numFmtId="0" fontId="13" fillId="13" borderId="4" xfId="0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 wrapText="1"/>
    </xf>
    <xf numFmtId="164" fontId="13" fillId="13" borderId="4" xfId="1" applyFont="1" applyFill="1" applyBorder="1" applyAlignment="1" applyProtection="1">
      <alignment horizontal="center" vertical="center" wrapText="1"/>
    </xf>
    <xf numFmtId="0" fontId="15" fillId="13" borderId="2" xfId="2" applyFont="1" applyFill="1" applyBorder="1" applyAlignment="1" applyProtection="1">
      <alignment horizontal="center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/>
    <xf numFmtId="0" fontId="13" fillId="14" borderId="2" xfId="0" applyFont="1" applyFill="1" applyBorder="1" applyAlignment="1">
      <alignment horizontal="center" vertical="center"/>
    </xf>
    <xf numFmtId="165" fontId="14" fillId="14" borderId="2" xfId="0" applyNumberFormat="1" applyFont="1" applyFill="1" applyBorder="1" applyAlignment="1">
      <alignment horizontal="center" vertical="center" wrapText="1"/>
    </xf>
    <xf numFmtId="166" fontId="13" fillId="14" borderId="2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left" vertical="center"/>
    </xf>
    <xf numFmtId="0" fontId="15" fillId="14" borderId="2" xfId="2" applyFont="1" applyFill="1" applyBorder="1" applyAlignment="1" applyProtection="1"/>
    <xf numFmtId="0" fontId="13" fillId="14" borderId="2" xfId="0" applyFont="1" applyFill="1" applyBorder="1" applyAlignment="1">
      <alignment vertical="top" wrapText="1"/>
    </xf>
    <xf numFmtId="0" fontId="13" fillId="14" borderId="2" xfId="0" applyFont="1" applyFill="1" applyBorder="1" applyAlignment="1">
      <alignment wrapText="1"/>
    </xf>
    <xf numFmtId="0" fontId="15" fillId="14" borderId="2" xfId="2" applyFont="1" applyFill="1" applyBorder="1" applyAlignment="1" applyProtection="1">
      <alignment vertical="center"/>
    </xf>
    <xf numFmtId="0" fontId="15" fillId="14" borderId="2" xfId="2" applyFont="1" applyFill="1" applyBorder="1" applyAlignment="1" applyProtection="1">
      <alignment vertical="center" wrapText="1"/>
    </xf>
    <xf numFmtId="0" fontId="15" fillId="14" borderId="6" xfId="2" applyFont="1" applyFill="1" applyBorder="1" applyAlignment="1" applyProtection="1"/>
    <xf numFmtId="0" fontId="13" fillId="14" borderId="6" xfId="0" applyFont="1" applyFill="1" applyBorder="1" applyAlignment="1">
      <alignment vertical="top" wrapText="1"/>
    </xf>
    <xf numFmtId="0" fontId="15" fillId="14" borderId="6" xfId="2" applyFont="1" applyFill="1" applyBorder="1" applyAlignment="1" applyProtection="1">
      <alignment vertical="center"/>
    </xf>
    <xf numFmtId="164" fontId="14" fillId="14" borderId="2" xfId="1" applyFont="1" applyFill="1" applyBorder="1" applyAlignment="1" applyProtection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0" fontId="13" fillId="15" borderId="2" xfId="1" applyNumberFormat="1" applyFont="1" applyFill="1" applyBorder="1" applyAlignment="1" applyProtection="1">
      <alignment horizontal="center" vertical="center" wrapText="1"/>
    </xf>
    <xf numFmtId="164" fontId="13" fillId="0" borderId="2" xfId="1" applyFont="1" applyBorder="1" applyAlignment="1" applyProtection="1">
      <alignment horizontal="center" vertical="center" wrapText="1"/>
    </xf>
    <xf numFmtId="164" fontId="13" fillId="14" borderId="4" xfId="1" applyFont="1" applyFill="1" applyBorder="1" applyAlignment="1" applyProtection="1">
      <alignment horizontal="center" vertical="center" wrapText="1"/>
    </xf>
    <xf numFmtId="164" fontId="13" fillId="0" borderId="2" xfId="1" applyFont="1" applyBorder="1" applyAlignment="1" applyProtection="1">
      <alignment horizontal="center" vertical="center"/>
    </xf>
    <xf numFmtId="0" fontId="13" fillId="14" borderId="2" xfId="0" applyFont="1" applyFill="1" applyBorder="1" applyAlignment="1">
      <alignment vertical="center"/>
    </xf>
    <xf numFmtId="0" fontId="15" fillId="0" borderId="2" xfId="2" applyFont="1" applyBorder="1" applyAlignment="1" applyProtection="1">
      <alignment horizontal="left" vertical="center"/>
    </xf>
    <xf numFmtId="0" fontId="13" fillId="0" borderId="0" xfId="0" applyFont="1" applyAlignment="1">
      <alignment horizontal="center" vertical="center"/>
    </xf>
    <xf numFmtId="49" fontId="13" fillId="14" borderId="2" xfId="0" applyNumberFormat="1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 wrapText="1"/>
    </xf>
    <xf numFmtId="165" fontId="14" fillId="13" borderId="2" xfId="0" applyNumberFormat="1" applyFont="1" applyFill="1" applyBorder="1" applyAlignment="1">
      <alignment horizontal="center" vertical="center"/>
    </xf>
    <xf numFmtId="166" fontId="13" fillId="13" borderId="2" xfId="0" applyNumberFormat="1" applyFont="1" applyFill="1" applyBorder="1" applyAlignment="1">
      <alignment horizontal="center" vertical="center"/>
    </xf>
    <xf numFmtId="166" fontId="13" fillId="13" borderId="4" xfId="0" applyNumberFormat="1" applyFont="1" applyFill="1" applyBorder="1" applyAlignment="1">
      <alignment horizontal="center" vertical="center"/>
    </xf>
    <xf numFmtId="0" fontId="13" fillId="15" borderId="4" xfId="1" applyNumberFormat="1" applyFont="1" applyFill="1" applyBorder="1" applyAlignment="1" applyProtection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vertical="center"/>
    </xf>
    <xf numFmtId="0" fontId="15" fillId="13" borderId="2" xfId="2" applyFont="1" applyFill="1" applyBorder="1" applyAlignment="1" applyProtection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164" fontId="13" fillId="0" borderId="4" xfId="1" applyFont="1" applyBorder="1" applyAlignment="1" applyProtection="1">
      <alignment horizontal="center" vertical="center" wrapText="1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6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4" fontId="13" fillId="15" borderId="2" xfId="1" applyFont="1" applyFill="1" applyBorder="1" applyAlignment="1" applyProtection="1">
      <alignment horizontal="center" vertical="center" wrapText="1"/>
    </xf>
    <xf numFmtId="164" fontId="17" fillId="0" borderId="2" xfId="1" applyFont="1" applyBorder="1" applyAlignment="1" applyProtection="1">
      <alignment horizontal="center" vertical="center" wrapText="1"/>
    </xf>
    <xf numFmtId="164" fontId="13" fillId="14" borderId="5" xfId="1" applyFont="1" applyFill="1" applyBorder="1" applyAlignment="1" applyProtection="1">
      <alignment horizontal="center" vertical="center" wrapText="1"/>
    </xf>
    <xf numFmtId="49" fontId="13" fillId="0" borderId="7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 wrapText="1"/>
    </xf>
    <xf numFmtId="164" fontId="13" fillId="0" borderId="2" xfId="1" applyFont="1" applyBorder="1" applyProtection="1"/>
    <xf numFmtId="164" fontId="13" fillId="0" borderId="2" xfId="1" applyFont="1" applyBorder="1" applyAlignment="1" applyProtection="1">
      <alignment vertical="center"/>
    </xf>
    <xf numFmtId="0" fontId="13" fillId="0" borderId="2" xfId="0" applyFont="1" applyBorder="1" applyAlignment="1">
      <alignment vertical="center"/>
    </xf>
    <xf numFmtId="166" fontId="13" fillId="0" borderId="2" xfId="0" applyNumberFormat="1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165" fontId="14" fillId="0" borderId="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3" fillId="13" borderId="0" xfId="0" applyFont="1" applyFill="1" applyAlignment="1">
      <alignment horizontal="center"/>
    </xf>
    <xf numFmtId="165" fontId="14" fillId="0" borderId="0" xfId="0" applyNumberFormat="1" applyFont="1"/>
    <xf numFmtId="165" fontId="13" fillId="0" borderId="0" xfId="0" applyNumberFormat="1" applyFont="1"/>
    <xf numFmtId="165" fontId="18" fillId="0" borderId="0" xfId="0" applyNumberFormat="1" applyFont="1"/>
    <xf numFmtId="0" fontId="14" fillId="4" borderId="3" xfId="0" applyFont="1" applyFill="1" applyBorder="1" applyAlignment="1">
      <alignment horizontal="center" vertical="center" wrapText="1"/>
    </xf>
    <xf numFmtId="0" fontId="13" fillId="14" borderId="9" xfId="1" applyNumberFormat="1" applyFont="1" applyFill="1" applyBorder="1" applyAlignment="1" applyProtection="1">
      <alignment horizontal="center" vertical="center" wrapText="1"/>
    </xf>
    <xf numFmtId="0" fontId="0" fillId="0" borderId="2" xfId="0" applyBorder="1"/>
    <xf numFmtId="0" fontId="13" fillId="0" borderId="0" xfId="0" applyFont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67" fontId="13" fillId="0" borderId="4" xfId="0" applyNumberFormat="1" applyFont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164" fontId="0" fillId="0" borderId="0" xfId="1" applyFont="1" applyBorder="1" applyProtection="1"/>
    <xf numFmtId="0" fontId="0" fillId="0" borderId="0" xfId="1" applyNumberFormat="1" applyFont="1" applyBorder="1" applyProtection="1"/>
    <xf numFmtId="0" fontId="13" fillId="14" borderId="6" xfId="0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 wrapText="1"/>
    </xf>
    <xf numFmtId="49" fontId="13" fillId="14" borderId="10" xfId="0" applyNumberFormat="1" applyFont="1" applyFill="1" applyBorder="1" applyAlignment="1">
      <alignment horizontal="center" vertical="center" wrapText="1"/>
    </xf>
    <xf numFmtId="49" fontId="13" fillId="14" borderId="11" xfId="0" applyNumberFormat="1" applyFont="1" applyFill="1" applyBorder="1" applyAlignment="1">
      <alignment horizontal="center" vertical="center" wrapText="1"/>
    </xf>
    <xf numFmtId="165" fontId="14" fillId="14" borderId="6" xfId="0" applyNumberFormat="1" applyFont="1" applyFill="1" applyBorder="1" applyAlignment="1">
      <alignment horizontal="center" vertical="center" wrapText="1"/>
    </xf>
    <xf numFmtId="165" fontId="14" fillId="14" borderId="12" xfId="0" applyNumberFormat="1" applyFont="1" applyFill="1" applyBorder="1" applyAlignment="1">
      <alignment horizontal="center" vertical="center" wrapText="1"/>
    </xf>
    <xf numFmtId="166" fontId="13" fillId="14" borderId="2" xfId="0" applyNumberFormat="1" applyFont="1" applyFill="1" applyBorder="1" applyAlignment="1">
      <alignment horizontal="center" vertical="center"/>
    </xf>
    <xf numFmtId="0" fontId="0" fillId="14" borderId="6" xfId="0" applyFill="1" applyBorder="1"/>
    <xf numFmtId="49" fontId="14" fillId="14" borderId="2" xfId="0" applyNumberFormat="1" applyFont="1" applyFill="1" applyBorder="1" applyAlignment="1">
      <alignment horizontal="center" vertical="center" wrapText="1"/>
    </xf>
    <xf numFmtId="166" fontId="13" fillId="14" borderId="6" xfId="0" applyNumberFormat="1" applyFont="1" applyFill="1" applyBorder="1" applyAlignment="1">
      <alignment horizontal="center" vertical="center" wrapText="1"/>
    </xf>
    <xf numFmtId="0" fontId="13" fillId="14" borderId="6" xfId="1" applyNumberFormat="1" applyFont="1" applyFill="1" applyBorder="1" applyAlignment="1" applyProtection="1">
      <alignment horizontal="center" vertical="center" wrapText="1"/>
    </xf>
    <xf numFmtId="164" fontId="14" fillId="14" borderId="12" xfId="1" applyFont="1" applyFill="1" applyBorder="1" applyAlignment="1" applyProtection="1">
      <alignment horizontal="center" vertical="center" wrapText="1"/>
    </xf>
    <xf numFmtId="0" fontId="0" fillId="14" borderId="6" xfId="0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 wrapText="1"/>
    </xf>
    <xf numFmtId="0" fontId="14" fillId="14" borderId="12" xfId="1" applyNumberFormat="1" applyFont="1" applyFill="1" applyBorder="1" applyAlignment="1" applyProtection="1">
      <alignment horizontal="center" vertical="center" wrapText="1"/>
    </xf>
    <xf numFmtId="0" fontId="0" fillId="14" borderId="6" xfId="0" applyFill="1" applyBorder="1" applyAlignment="1">
      <alignment vertical="top"/>
    </xf>
    <xf numFmtId="0" fontId="0" fillId="14" borderId="0" xfId="0" applyFill="1"/>
    <xf numFmtId="165" fontId="14" fillId="14" borderId="1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vertical="top"/>
    </xf>
    <xf numFmtId="166" fontId="13" fillId="14" borderId="13" xfId="0" applyNumberFormat="1" applyFont="1" applyFill="1" applyBorder="1" applyAlignment="1">
      <alignment horizontal="center" vertical="center" wrapText="1"/>
    </xf>
    <xf numFmtId="164" fontId="13" fillId="14" borderId="3" xfId="1" applyFont="1" applyFill="1" applyBorder="1" applyAlignment="1" applyProtection="1">
      <alignment horizontal="center" vertical="center" wrapText="1"/>
    </xf>
    <xf numFmtId="0" fontId="13" fillId="14" borderId="8" xfId="0" applyFont="1" applyFill="1" applyBorder="1" applyAlignment="1">
      <alignment horizontal="center" vertical="center" wrapText="1"/>
    </xf>
    <xf numFmtId="0" fontId="14" fillId="14" borderId="3" xfId="1" applyNumberFormat="1" applyFont="1" applyFill="1" applyBorder="1" applyAlignment="1" applyProtection="1">
      <alignment horizontal="center" vertical="center" wrapText="1"/>
    </xf>
    <xf numFmtId="0" fontId="13" fillId="13" borderId="2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 wrapText="1"/>
    </xf>
    <xf numFmtId="0" fontId="14" fillId="13" borderId="3" xfId="1" applyNumberFormat="1" applyFont="1" applyFill="1" applyBorder="1" applyAlignment="1" applyProtection="1">
      <alignment horizontal="center" vertical="center" wrapText="1"/>
    </xf>
    <xf numFmtId="0" fontId="13" fillId="13" borderId="2" xfId="0" applyFont="1" applyFill="1" applyBorder="1" applyAlignment="1">
      <alignment vertical="top" wrapText="1"/>
    </xf>
    <xf numFmtId="49" fontId="13" fillId="14" borderId="0" xfId="0" applyNumberFormat="1" applyFont="1" applyFill="1" applyBorder="1" applyAlignment="1">
      <alignment horizontal="center" vertical="center" wrapText="1"/>
    </xf>
    <xf numFmtId="164" fontId="14" fillId="14" borderId="3" xfId="1" applyFont="1" applyFill="1" applyBorder="1" applyAlignment="1" applyProtection="1">
      <alignment horizontal="center" vertical="center" wrapText="1"/>
    </xf>
    <xf numFmtId="0" fontId="0" fillId="14" borderId="2" xfId="0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 wrapText="1"/>
    </xf>
    <xf numFmtId="0" fontId="0" fillId="14" borderId="2" xfId="0" applyFill="1" applyBorder="1"/>
    <xf numFmtId="49" fontId="13" fillId="14" borderId="8" xfId="0" applyNumberFormat="1" applyFont="1" applyFill="1" applyBorder="1" applyAlignment="1">
      <alignment horizontal="center" vertical="center" wrapText="1"/>
    </xf>
    <xf numFmtId="49" fontId="14" fillId="14" borderId="3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vertical="top"/>
    </xf>
    <xf numFmtId="49" fontId="13" fillId="14" borderId="15" xfId="0" applyNumberFormat="1" applyFont="1" applyFill="1" applyBorder="1" applyAlignment="1">
      <alignment horizontal="center" vertical="center" wrapText="1"/>
    </xf>
    <xf numFmtId="49" fontId="14" fillId="14" borderId="5" xfId="0" applyNumberFormat="1" applyFont="1" applyFill="1" applyBorder="1" applyAlignment="1">
      <alignment horizontal="center" vertical="center" wrapText="1"/>
    </xf>
    <xf numFmtId="49" fontId="13" fillId="14" borderId="3" xfId="0" applyNumberFormat="1" applyFont="1" applyFill="1" applyBorder="1" applyAlignment="1">
      <alignment horizontal="center" vertical="center" wrapText="1"/>
    </xf>
    <xf numFmtId="165" fontId="14" fillId="14" borderId="8" xfId="0" applyNumberFormat="1" applyFont="1" applyFill="1" applyBorder="1" applyAlignment="1">
      <alignment horizontal="center" vertical="center" wrapText="1"/>
    </xf>
    <xf numFmtId="0" fontId="14" fillId="14" borderId="3" xfId="1" applyNumberFormat="1" applyFont="1" applyFill="1" applyBorder="1" applyAlignment="1" applyProtection="1">
      <alignment horizontal="center" vertical="center" textRotation="90" wrapText="1"/>
    </xf>
    <xf numFmtId="164" fontId="14" fillId="14" borderId="5" xfId="1" applyFont="1" applyFill="1" applyBorder="1" applyAlignment="1" applyProtection="1">
      <alignment horizontal="center" vertical="center" wrapText="1"/>
    </xf>
    <xf numFmtId="164" fontId="14" fillId="14" borderId="8" xfId="1" applyFont="1" applyFill="1" applyBorder="1" applyAlignment="1" applyProtection="1">
      <alignment horizontal="center" vertical="center" wrapText="1"/>
    </xf>
    <xf numFmtId="164" fontId="13" fillId="0" borderId="3" xfId="1" applyFont="1" applyBorder="1" applyAlignment="1" applyProtection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 wrapText="1"/>
    </xf>
    <xf numFmtId="49" fontId="13" fillId="14" borderId="13" xfId="0" applyNumberFormat="1" applyFont="1" applyFill="1" applyBorder="1" applyAlignment="1">
      <alignment horizontal="center" vertical="center" wrapText="1"/>
    </xf>
    <xf numFmtId="164" fontId="14" fillId="14" borderId="6" xfId="1" applyFont="1" applyFill="1" applyBorder="1" applyAlignment="1" applyProtection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4" borderId="8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 wrapText="1"/>
    </xf>
    <xf numFmtId="0" fontId="13" fillId="14" borderId="2" xfId="0" applyFont="1" applyFill="1" applyBorder="1"/>
    <xf numFmtId="0" fontId="13" fillId="14" borderId="3" xfId="0" applyFont="1" applyFill="1" applyBorder="1" applyAlignment="1">
      <alignment horizontal="center" vertical="center" wrapText="1"/>
    </xf>
    <xf numFmtId="0" fontId="13" fillId="14" borderId="15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left" vertical="top"/>
    </xf>
    <xf numFmtId="0" fontId="21" fillId="14" borderId="2" xfId="0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13" fillId="14" borderId="16" xfId="0" applyFont="1" applyFill="1" applyBorder="1" applyAlignment="1">
      <alignment horizontal="center" vertical="center" wrapText="1"/>
    </xf>
    <xf numFmtId="0" fontId="13" fillId="14" borderId="4" xfId="0" applyFont="1" applyFill="1" applyBorder="1"/>
    <xf numFmtId="0" fontId="21" fillId="14" borderId="0" xfId="0" applyFont="1" applyFill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0" fontId="13" fillId="15" borderId="6" xfId="1" applyNumberFormat="1" applyFont="1" applyFill="1" applyBorder="1" applyAlignment="1" applyProtection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13" fillId="14" borderId="6" xfId="0" applyFont="1" applyFill="1" applyBorder="1"/>
    <xf numFmtId="0" fontId="13" fillId="13" borderId="2" xfId="1" applyNumberFormat="1" applyFont="1" applyFill="1" applyBorder="1" applyAlignment="1" applyProtection="1">
      <alignment horizontal="center" vertical="center" wrapText="1"/>
    </xf>
    <xf numFmtId="49" fontId="13" fillId="14" borderId="2" xfId="0" applyNumberFormat="1" applyFont="1" applyFill="1" applyBorder="1" applyAlignment="1">
      <alignment horizontal="center" vertical="center" wrapText="1"/>
    </xf>
    <xf numFmtId="49" fontId="13" fillId="14" borderId="4" xfId="0" applyNumberFormat="1" applyFont="1" applyFill="1" applyBorder="1" applyAlignment="1">
      <alignment horizontal="center" vertical="center" wrapText="1"/>
    </xf>
    <xf numFmtId="165" fontId="14" fillId="14" borderId="4" xfId="0" applyNumberFormat="1" applyFont="1" applyFill="1" applyBorder="1" applyAlignment="1">
      <alignment horizontal="center" vertical="center" wrapText="1"/>
    </xf>
    <xf numFmtId="165" fontId="14" fillId="14" borderId="5" xfId="0" applyNumberFormat="1" applyFont="1" applyFill="1" applyBorder="1" applyAlignment="1">
      <alignment horizontal="center" vertical="center" wrapText="1"/>
    </xf>
    <xf numFmtId="166" fontId="13" fillId="14" borderId="4" xfId="0" applyNumberFormat="1" applyFont="1" applyFill="1" applyBorder="1" applyAlignment="1">
      <alignment horizontal="center" vertical="center" wrapText="1"/>
    </xf>
    <xf numFmtId="166" fontId="13" fillId="14" borderId="5" xfId="0" applyNumberFormat="1" applyFont="1" applyFill="1" applyBorder="1" applyAlignment="1">
      <alignment horizontal="center" vertical="center" wrapText="1"/>
    </xf>
    <xf numFmtId="0" fontId="13" fillId="14" borderId="4" xfId="1" applyNumberFormat="1" applyFont="1" applyFill="1" applyBorder="1" applyAlignment="1" applyProtection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164" fontId="13" fillId="14" borderId="4" xfId="1" applyFont="1" applyFill="1" applyBorder="1" applyAlignment="1" applyProtection="1">
      <alignment horizontal="center" wrapText="1"/>
    </xf>
    <xf numFmtId="164" fontId="13" fillId="14" borderId="2" xfId="1" applyFont="1" applyFill="1" applyBorder="1" applyAlignment="1" applyProtection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 wrapText="1"/>
    </xf>
    <xf numFmtId="165" fontId="14" fillId="13" borderId="4" xfId="0" applyNumberFormat="1" applyFont="1" applyFill="1" applyBorder="1" applyAlignment="1">
      <alignment horizontal="center" vertical="center" wrapText="1"/>
    </xf>
    <xf numFmtId="166" fontId="13" fillId="13" borderId="4" xfId="0" applyNumberFormat="1" applyFont="1" applyFill="1" applyBorder="1" applyAlignment="1">
      <alignment horizontal="center" vertical="center" wrapText="1"/>
    </xf>
    <xf numFmtId="164" fontId="13" fillId="13" borderId="4" xfId="1" applyFont="1" applyFill="1" applyBorder="1" applyAlignment="1" applyProtection="1">
      <alignment horizontal="center" vertical="center" wrapText="1"/>
    </xf>
    <xf numFmtId="0" fontId="13" fillId="14" borderId="2" xfId="0" applyFont="1" applyFill="1" applyBorder="1" applyAlignment="1">
      <alignment horizontal="center" vertical="center"/>
    </xf>
    <xf numFmtId="165" fontId="14" fillId="14" borderId="2" xfId="0" applyNumberFormat="1" applyFont="1" applyFill="1" applyBorder="1" applyAlignment="1">
      <alignment horizontal="center" vertical="center" wrapText="1"/>
    </xf>
    <xf numFmtId="166" fontId="13" fillId="14" borderId="2" xfId="0" applyNumberFormat="1" applyFont="1" applyFill="1" applyBorder="1" applyAlignment="1">
      <alignment horizontal="center" vertical="center" wrapText="1"/>
    </xf>
    <xf numFmtId="164" fontId="14" fillId="14" borderId="2" xfId="1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3" xfId="1" applyNumberFormat="1" applyFont="1" applyFill="1" applyBorder="1" applyAlignment="1" applyProtection="1">
      <alignment horizontal="center" vertical="center" textRotation="90" wrapText="1"/>
    </xf>
  </cellXfs>
  <cellStyles count="567">
    <cellStyle name="Accent 1 5" xfId="3"/>
    <cellStyle name="Accent 2 6" xfId="4"/>
    <cellStyle name="Accent 3 7" xfId="5"/>
    <cellStyle name="Accent 4" xfId="6"/>
    <cellStyle name="Bad 8" xfId="7"/>
    <cellStyle name="cf1" xfId="8"/>
    <cellStyle name="cf10" xfId="9"/>
    <cellStyle name="cf100" xfId="10"/>
    <cellStyle name="cf101" xfId="11"/>
    <cellStyle name="cf102" xfId="12"/>
    <cellStyle name="cf103" xfId="13"/>
    <cellStyle name="cf104" xfId="14"/>
    <cellStyle name="cf105" xfId="15"/>
    <cellStyle name="cf106" xfId="16"/>
    <cellStyle name="cf107" xfId="17"/>
    <cellStyle name="cf108" xfId="18"/>
    <cellStyle name="cf109" xfId="19"/>
    <cellStyle name="cf11" xfId="20"/>
    <cellStyle name="cf110" xfId="21"/>
    <cellStyle name="cf111" xfId="22"/>
    <cellStyle name="cf112" xfId="23"/>
    <cellStyle name="cf113" xfId="24"/>
    <cellStyle name="cf114" xfId="25"/>
    <cellStyle name="cf115" xfId="26"/>
    <cellStyle name="cf116" xfId="27"/>
    <cellStyle name="cf117" xfId="28"/>
    <cellStyle name="cf118" xfId="29"/>
    <cellStyle name="cf119" xfId="30"/>
    <cellStyle name="cf12" xfId="31"/>
    <cellStyle name="cf120" xfId="32"/>
    <cellStyle name="cf121" xfId="33"/>
    <cellStyle name="cf122" xfId="34"/>
    <cellStyle name="cf123" xfId="35"/>
    <cellStyle name="cf124" xfId="36"/>
    <cellStyle name="cf125" xfId="37"/>
    <cellStyle name="cf126" xfId="38"/>
    <cellStyle name="cf127" xfId="39"/>
    <cellStyle name="cf128" xfId="40"/>
    <cellStyle name="cf129" xfId="41"/>
    <cellStyle name="cf13" xfId="42"/>
    <cellStyle name="cf130" xfId="43"/>
    <cellStyle name="cf131" xfId="44"/>
    <cellStyle name="cf132" xfId="45"/>
    <cellStyle name="cf133" xfId="46"/>
    <cellStyle name="cf134" xfId="47"/>
    <cellStyle name="cf135" xfId="48"/>
    <cellStyle name="cf136" xfId="49"/>
    <cellStyle name="cf137" xfId="50"/>
    <cellStyle name="cf138" xfId="51"/>
    <cellStyle name="cf139" xfId="52"/>
    <cellStyle name="cf14" xfId="53"/>
    <cellStyle name="cf140" xfId="54"/>
    <cellStyle name="cf141" xfId="55"/>
    <cellStyle name="cf142" xfId="56"/>
    <cellStyle name="cf143" xfId="57"/>
    <cellStyle name="cf144" xfId="58"/>
    <cellStyle name="cf145" xfId="59"/>
    <cellStyle name="cf146" xfId="60"/>
    <cellStyle name="cf147" xfId="61"/>
    <cellStyle name="cf148" xfId="62"/>
    <cellStyle name="cf149" xfId="63"/>
    <cellStyle name="cf15" xfId="64"/>
    <cellStyle name="cf150" xfId="65"/>
    <cellStyle name="cf151" xfId="66"/>
    <cellStyle name="cf152" xfId="67"/>
    <cellStyle name="cf153" xfId="68"/>
    <cellStyle name="cf154" xfId="69"/>
    <cellStyle name="cf155" xfId="70"/>
    <cellStyle name="cf156" xfId="71"/>
    <cellStyle name="cf157" xfId="72"/>
    <cellStyle name="cf158" xfId="73"/>
    <cellStyle name="cf159" xfId="74"/>
    <cellStyle name="cf16" xfId="75"/>
    <cellStyle name="cf160" xfId="76"/>
    <cellStyle name="cf161" xfId="77"/>
    <cellStyle name="cf162" xfId="78"/>
    <cellStyle name="cf163" xfId="79"/>
    <cellStyle name="cf164" xfId="80"/>
    <cellStyle name="cf165" xfId="81"/>
    <cellStyle name="cf166" xfId="82"/>
    <cellStyle name="cf167" xfId="83"/>
    <cellStyle name="cf168" xfId="84"/>
    <cellStyle name="cf169" xfId="85"/>
    <cellStyle name="cf17" xfId="86"/>
    <cellStyle name="cf170" xfId="87"/>
    <cellStyle name="cf171" xfId="88"/>
    <cellStyle name="cf172" xfId="89"/>
    <cellStyle name="cf173" xfId="90"/>
    <cellStyle name="cf174" xfId="91"/>
    <cellStyle name="cf175" xfId="92"/>
    <cellStyle name="cf176" xfId="93"/>
    <cellStyle name="cf177" xfId="94"/>
    <cellStyle name="cf178" xfId="95"/>
    <cellStyle name="cf179" xfId="96"/>
    <cellStyle name="cf18" xfId="97"/>
    <cellStyle name="cf180" xfId="98"/>
    <cellStyle name="cf181" xfId="99"/>
    <cellStyle name="cf182" xfId="100"/>
    <cellStyle name="cf183" xfId="101"/>
    <cellStyle name="cf184" xfId="102"/>
    <cellStyle name="cf185" xfId="103"/>
    <cellStyle name="cf186" xfId="104"/>
    <cellStyle name="cf187" xfId="105"/>
    <cellStyle name="cf188" xfId="106"/>
    <cellStyle name="cf189" xfId="107"/>
    <cellStyle name="cf19" xfId="108"/>
    <cellStyle name="cf190" xfId="109"/>
    <cellStyle name="cf191" xfId="110"/>
    <cellStyle name="cf192" xfId="111"/>
    <cellStyle name="cf193" xfId="112"/>
    <cellStyle name="cf194" xfId="113"/>
    <cellStyle name="cf195" xfId="114"/>
    <cellStyle name="cf196" xfId="115"/>
    <cellStyle name="cf197" xfId="116"/>
    <cellStyle name="cf198" xfId="117"/>
    <cellStyle name="cf199" xfId="118"/>
    <cellStyle name="cf2" xfId="119"/>
    <cellStyle name="cf20" xfId="120"/>
    <cellStyle name="cf200" xfId="121"/>
    <cellStyle name="cf201" xfId="122"/>
    <cellStyle name="cf202" xfId="123"/>
    <cellStyle name="cf203" xfId="124"/>
    <cellStyle name="cf204" xfId="125"/>
    <cellStyle name="cf205" xfId="126"/>
    <cellStyle name="cf206" xfId="127"/>
    <cellStyle name="cf207" xfId="128"/>
    <cellStyle name="cf208" xfId="129"/>
    <cellStyle name="cf209" xfId="130"/>
    <cellStyle name="cf21" xfId="131"/>
    <cellStyle name="cf210" xfId="132"/>
    <cellStyle name="cf211" xfId="133"/>
    <cellStyle name="cf212" xfId="134"/>
    <cellStyle name="cf213" xfId="135"/>
    <cellStyle name="cf214" xfId="136"/>
    <cellStyle name="cf215" xfId="137"/>
    <cellStyle name="cf216" xfId="138"/>
    <cellStyle name="cf217" xfId="139"/>
    <cellStyle name="cf218" xfId="140"/>
    <cellStyle name="cf219" xfId="141"/>
    <cellStyle name="cf22" xfId="142"/>
    <cellStyle name="cf220" xfId="143"/>
    <cellStyle name="cf221" xfId="144"/>
    <cellStyle name="cf222" xfId="145"/>
    <cellStyle name="cf223" xfId="146"/>
    <cellStyle name="cf224" xfId="147"/>
    <cellStyle name="cf225" xfId="148"/>
    <cellStyle name="cf226" xfId="149"/>
    <cellStyle name="cf227" xfId="150"/>
    <cellStyle name="cf228" xfId="151"/>
    <cellStyle name="cf229" xfId="152"/>
    <cellStyle name="cf23" xfId="153"/>
    <cellStyle name="cf230" xfId="154"/>
    <cellStyle name="cf231" xfId="155"/>
    <cellStyle name="cf232" xfId="156"/>
    <cellStyle name="cf233" xfId="157"/>
    <cellStyle name="cf234" xfId="158"/>
    <cellStyle name="cf235" xfId="159"/>
    <cellStyle name="cf236" xfId="160"/>
    <cellStyle name="cf237" xfId="161"/>
    <cellStyle name="cf238" xfId="162"/>
    <cellStyle name="cf239" xfId="163"/>
    <cellStyle name="cf24" xfId="164"/>
    <cellStyle name="cf240" xfId="165"/>
    <cellStyle name="cf241" xfId="166"/>
    <cellStyle name="cf242" xfId="167"/>
    <cellStyle name="cf243" xfId="168"/>
    <cellStyle name="cf244" xfId="169"/>
    <cellStyle name="cf245" xfId="170"/>
    <cellStyle name="cf246" xfId="171"/>
    <cellStyle name="cf247" xfId="172"/>
    <cellStyle name="cf248" xfId="173"/>
    <cellStyle name="cf249" xfId="174"/>
    <cellStyle name="cf25" xfId="175"/>
    <cellStyle name="cf250" xfId="176"/>
    <cellStyle name="cf251" xfId="177"/>
    <cellStyle name="cf252" xfId="178"/>
    <cellStyle name="cf253" xfId="179"/>
    <cellStyle name="cf254" xfId="180"/>
    <cellStyle name="cf255" xfId="181"/>
    <cellStyle name="cf256" xfId="182"/>
    <cellStyle name="cf257" xfId="183"/>
    <cellStyle name="cf258" xfId="184"/>
    <cellStyle name="cf259" xfId="185"/>
    <cellStyle name="cf26" xfId="186"/>
    <cellStyle name="cf260" xfId="187"/>
    <cellStyle name="cf261" xfId="188"/>
    <cellStyle name="cf262" xfId="189"/>
    <cellStyle name="cf263" xfId="190"/>
    <cellStyle name="cf264" xfId="191"/>
    <cellStyle name="cf265" xfId="192"/>
    <cellStyle name="cf266" xfId="193"/>
    <cellStyle name="cf267" xfId="194"/>
    <cellStyle name="cf268" xfId="195"/>
    <cellStyle name="cf269" xfId="196"/>
    <cellStyle name="cf27" xfId="197"/>
    <cellStyle name="cf270" xfId="198"/>
    <cellStyle name="cf271" xfId="199"/>
    <cellStyle name="cf272" xfId="200"/>
    <cellStyle name="cf273" xfId="201"/>
    <cellStyle name="cf274" xfId="202"/>
    <cellStyle name="cf275" xfId="203"/>
    <cellStyle name="cf276" xfId="204"/>
    <cellStyle name="cf277" xfId="205"/>
    <cellStyle name="cf278" xfId="206"/>
    <cellStyle name="cf279" xfId="207"/>
    <cellStyle name="cf28" xfId="208"/>
    <cellStyle name="cf280" xfId="209"/>
    <cellStyle name="cf281" xfId="210"/>
    <cellStyle name="cf282" xfId="211"/>
    <cellStyle name="cf283" xfId="212"/>
    <cellStyle name="cf284" xfId="213"/>
    <cellStyle name="cf285" xfId="214"/>
    <cellStyle name="cf286" xfId="215"/>
    <cellStyle name="cf287" xfId="216"/>
    <cellStyle name="cf288" xfId="217"/>
    <cellStyle name="cf289" xfId="218"/>
    <cellStyle name="cf29" xfId="219"/>
    <cellStyle name="cf290" xfId="220"/>
    <cellStyle name="cf291" xfId="221"/>
    <cellStyle name="cf292" xfId="222"/>
    <cellStyle name="cf293" xfId="223"/>
    <cellStyle name="cf294" xfId="224"/>
    <cellStyle name="cf295" xfId="225"/>
    <cellStyle name="cf296" xfId="226"/>
    <cellStyle name="cf297" xfId="227"/>
    <cellStyle name="cf298" xfId="228"/>
    <cellStyle name="cf299" xfId="229"/>
    <cellStyle name="cf3" xfId="230"/>
    <cellStyle name="cf30" xfId="231"/>
    <cellStyle name="cf300" xfId="232"/>
    <cellStyle name="cf301" xfId="233"/>
    <cellStyle name="cf302" xfId="234"/>
    <cellStyle name="cf303" xfId="235"/>
    <cellStyle name="cf304" xfId="236"/>
    <cellStyle name="cf305" xfId="237"/>
    <cellStyle name="cf306" xfId="238"/>
    <cellStyle name="cf307" xfId="239"/>
    <cellStyle name="cf308" xfId="240"/>
    <cellStyle name="cf309" xfId="241"/>
    <cellStyle name="cf31" xfId="242"/>
    <cellStyle name="cf310" xfId="243"/>
    <cellStyle name="cf311" xfId="244"/>
    <cellStyle name="cf312" xfId="245"/>
    <cellStyle name="cf313" xfId="246"/>
    <cellStyle name="cf314" xfId="247"/>
    <cellStyle name="cf315" xfId="248"/>
    <cellStyle name="cf316" xfId="249"/>
    <cellStyle name="cf317" xfId="250"/>
    <cellStyle name="cf318" xfId="251"/>
    <cellStyle name="cf319" xfId="252"/>
    <cellStyle name="cf32" xfId="253"/>
    <cellStyle name="cf320" xfId="254"/>
    <cellStyle name="cf321" xfId="255"/>
    <cellStyle name="cf322" xfId="256"/>
    <cellStyle name="cf323" xfId="257"/>
    <cellStyle name="cf324" xfId="258"/>
    <cellStyle name="cf325" xfId="259"/>
    <cellStyle name="cf326" xfId="260"/>
    <cellStyle name="cf327" xfId="261"/>
    <cellStyle name="cf328" xfId="262"/>
    <cellStyle name="cf329" xfId="263"/>
    <cellStyle name="cf33" xfId="264"/>
    <cellStyle name="cf330" xfId="265"/>
    <cellStyle name="cf331" xfId="266"/>
    <cellStyle name="cf332" xfId="267"/>
    <cellStyle name="cf333" xfId="268"/>
    <cellStyle name="cf334" xfId="269"/>
    <cellStyle name="cf335" xfId="270"/>
    <cellStyle name="cf336" xfId="271"/>
    <cellStyle name="cf337" xfId="272"/>
    <cellStyle name="cf338" xfId="273"/>
    <cellStyle name="cf339" xfId="274"/>
    <cellStyle name="cf34" xfId="275"/>
    <cellStyle name="cf340" xfId="276"/>
    <cellStyle name="cf341" xfId="277"/>
    <cellStyle name="cf342" xfId="278"/>
    <cellStyle name="cf343" xfId="279"/>
    <cellStyle name="cf344" xfId="280"/>
    <cellStyle name="cf345" xfId="281"/>
    <cellStyle name="cf346" xfId="282"/>
    <cellStyle name="cf347" xfId="283"/>
    <cellStyle name="cf348" xfId="284"/>
    <cellStyle name="cf349" xfId="285"/>
    <cellStyle name="cf35" xfId="286"/>
    <cellStyle name="cf350" xfId="287"/>
    <cellStyle name="cf351" xfId="288"/>
    <cellStyle name="cf352" xfId="289"/>
    <cellStyle name="cf353" xfId="290"/>
    <cellStyle name="cf354" xfId="291"/>
    <cellStyle name="cf355" xfId="292"/>
    <cellStyle name="cf356" xfId="293"/>
    <cellStyle name="cf357" xfId="294"/>
    <cellStyle name="cf358" xfId="295"/>
    <cellStyle name="cf359" xfId="296"/>
    <cellStyle name="cf36" xfId="297"/>
    <cellStyle name="cf360" xfId="298"/>
    <cellStyle name="cf361" xfId="299"/>
    <cellStyle name="cf362" xfId="300"/>
    <cellStyle name="cf363" xfId="301"/>
    <cellStyle name="cf364" xfId="302"/>
    <cellStyle name="cf365" xfId="303"/>
    <cellStyle name="cf366" xfId="304"/>
    <cellStyle name="cf367" xfId="305"/>
    <cellStyle name="cf368" xfId="306"/>
    <cellStyle name="cf369" xfId="307"/>
    <cellStyle name="cf37" xfId="308"/>
    <cellStyle name="cf370" xfId="309"/>
    <cellStyle name="cf371" xfId="310"/>
    <cellStyle name="cf372" xfId="311"/>
    <cellStyle name="cf373" xfId="312"/>
    <cellStyle name="cf374" xfId="313"/>
    <cellStyle name="cf375" xfId="314"/>
    <cellStyle name="cf376" xfId="315"/>
    <cellStyle name="cf377" xfId="316"/>
    <cellStyle name="cf378" xfId="317"/>
    <cellStyle name="cf379" xfId="318"/>
    <cellStyle name="cf38" xfId="319"/>
    <cellStyle name="cf380" xfId="320"/>
    <cellStyle name="cf381" xfId="321"/>
    <cellStyle name="cf382" xfId="322"/>
    <cellStyle name="cf383" xfId="323"/>
    <cellStyle name="cf384" xfId="324"/>
    <cellStyle name="cf385" xfId="325"/>
    <cellStyle name="cf386" xfId="326"/>
    <cellStyle name="cf387" xfId="327"/>
    <cellStyle name="cf388" xfId="328"/>
    <cellStyle name="cf389" xfId="329"/>
    <cellStyle name="cf39" xfId="330"/>
    <cellStyle name="cf390" xfId="331"/>
    <cellStyle name="cf391" xfId="332"/>
    <cellStyle name="cf392" xfId="333"/>
    <cellStyle name="cf393" xfId="334"/>
    <cellStyle name="cf394" xfId="335"/>
    <cellStyle name="cf395" xfId="336"/>
    <cellStyle name="cf396" xfId="337"/>
    <cellStyle name="cf397" xfId="338"/>
    <cellStyle name="cf398" xfId="339"/>
    <cellStyle name="cf399" xfId="340"/>
    <cellStyle name="cf4" xfId="341"/>
    <cellStyle name="cf40" xfId="342"/>
    <cellStyle name="cf400" xfId="343"/>
    <cellStyle name="cf401" xfId="344"/>
    <cellStyle name="cf402" xfId="345"/>
    <cellStyle name="cf403" xfId="346"/>
    <cellStyle name="cf404" xfId="347"/>
    <cellStyle name="cf405" xfId="348"/>
    <cellStyle name="cf406" xfId="349"/>
    <cellStyle name="cf407" xfId="350"/>
    <cellStyle name="cf408" xfId="351"/>
    <cellStyle name="cf409" xfId="352"/>
    <cellStyle name="cf41" xfId="353"/>
    <cellStyle name="cf410" xfId="354"/>
    <cellStyle name="cf411" xfId="355"/>
    <cellStyle name="cf412" xfId="356"/>
    <cellStyle name="cf413" xfId="357"/>
    <cellStyle name="cf414" xfId="358"/>
    <cellStyle name="cf415" xfId="359"/>
    <cellStyle name="cf416" xfId="360"/>
    <cellStyle name="cf417" xfId="361"/>
    <cellStyle name="cf418" xfId="362"/>
    <cellStyle name="cf419" xfId="363"/>
    <cellStyle name="cf42" xfId="364"/>
    <cellStyle name="cf420" xfId="365"/>
    <cellStyle name="cf421" xfId="366"/>
    <cellStyle name="cf422" xfId="367"/>
    <cellStyle name="cf423" xfId="368"/>
    <cellStyle name="cf424" xfId="369"/>
    <cellStyle name="cf425" xfId="370"/>
    <cellStyle name="cf426" xfId="371"/>
    <cellStyle name="cf427" xfId="372"/>
    <cellStyle name="cf428" xfId="373"/>
    <cellStyle name="cf429" xfId="374"/>
    <cellStyle name="cf43" xfId="375"/>
    <cellStyle name="cf430" xfId="376"/>
    <cellStyle name="cf431" xfId="377"/>
    <cellStyle name="cf432" xfId="378"/>
    <cellStyle name="cf433" xfId="379"/>
    <cellStyle name="cf434" xfId="380"/>
    <cellStyle name="cf435" xfId="381"/>
    <cellStyle name="cf436" xfId="382"/>
    <cellStyle name="cf437" xfId="383"/>
    <cellStyle name="cf438" xfId="384"/>
    <cellStyle name="cf439" xfId="385"/>
    <cellStyle name="cf44" xfId="386"/>
    <cellStyle name="cf440" xfId="387"/>
    <cellStyle name="cf441" xfId="388"/>
    <cellStyle name="cf442" xfId="389"/>
    <cellStyle name="cf443" xfId="390"/>
    <cellStyle name="cf444" xfId="391"/>
    <cellStyle name="cf445" xfId="392"/>
    <cellStyle name="cf446" xfId="393"/>
    <cellStyle name="cf447" xfId="394"/>
    <cellStyle name="cf448" xfId="395"/>
    <cellStyle name="cf449" xfId="396"/>
    <cellStyle name="cf45" xfId="397"/>
    <cellStyle name="cf450" xfId="398"/>
    <cellStyle name="cf451" xfId="399"/>
    <cellStyle name="cf452" xfId="400"/>
    <cellStyle name="cf453" xfId="401"/>
    <cellStyle name="cf454" xfId="402"/>
    <cellStyle name="cf455" xfId="403"/>
    <cellStyle name="cf456" xfId="404"/>
    <cellStyle name="cf457" xfId="405"/>
    <cellStyle name="cf458" xfId="406"/>
    <cellStyle name="cf459" xfId="407"/>
    <cellStyle name="cf46" xfId="408"/>
    <cellStyle name="cf460" xfId="409"/>
    <cellStyle name="cf461" xfId="410"/>
    <cellStyle name="cf462" xfId="411"/>
    <cellStyle name="cf463" xfId="412"/>
    <cellStyle name="cf464" xfId="413"/>
    <cellStyle name="cf465" xfId="414"/>
    <cellStyle name="cf466" xfId="415"/>
    <cellStyle name="cf467" xfId="416"/>
    <cellStyle name="cf468" xfId="417"/>
    <cellStyle name="cf469" xfId="418"/>
    <cellStyle name="cf47" xfId="419"/>
    <cellStyle name="cf470" xfId="420"/>
    <cellStyle name="cf471" xfId="421"/>
    <cellStyle name="cf472" xfId="422"/>
    <cellStyle name="cf473" xfId="423"/>
    <cellStyle name="cf474" xfId="424"/>
    <cellStyle name="cf475" xfId="425"/>
    <cellStyle name="cf476" xfId="426"/>
    <cellStyle name="cf477" xfId="427"/>
    <cellStyle name="cf478" xfId="428"/>
    <cellStyle name="cf479" xfId="429"/>
    <cellStyle name="cf48" xfId="430"/>
    <cellStyle name="cf480" xfId="431"/>
    <cellStyle name="cf481" xfId="432"/>
    <cellStyle name="cf482" xfId="433"/>
    <cellStyle name="cf483" xfId="434"/>
    <cellStyle name="cf484" xfId="435"/>
    <cellStyle name="cf485" xfId="436"/>
    <cellStyle name="cf486" xfId="437"/>
    <cellStyle name="cf487" xfId="438"/>
    <cellStyle name="cf488" xfId="439"/>
    <cellStyle name="cf489" xfId="440"/>
    <cellStyle name="cf49" xfId="441"/>
    <cellStyle name="cf490" xfId="442"/>
    <cellStyle name="cf491" xfId="443"/>
    <cellStyle name="cf492" xfId="444"/>
    <cellStyle name="cf493" xfId="445"/>
    <cellStyle name="cf494" xfId="446"/>
    <cellStyle name="cf495" xfId="447"/>
    <cellStyle name="cf496" xfId="448"/>
    <cellStyle name="cf497" xfId="449"/>
    <cellStyle name="cf498" xfId="450"/>
    <cellStyle name="cf499" xfId="451"/>
    <cellStyle name="cf5" xfId="452"/>
    <cellStyle name="cf50" xfId="453"/>
    <cellStyle name="cf500" xfId="454"/>
    <cellStyle name="cf501" xfId="455"/>
    <cellStyle name="cf502" xfId="456"/>
    <cellStyle name="cf503" xfId="457"/>
    <cellStyle name="cf504" xfId="458"/>
    <cellStyle name="cf505" xfId="459"/>
    <cellStyle name="cf506" xfId="460"/>
    <cellStyle name="cf507" xfId="461"/>
    <cellStyle name="cf508" xfId="462"/>
    <cellStyle name="cf509" xfId="463"/>
    <cellStyle name="cf51" xfId="464"/>
    <cellStyle name="cf510" xfId="465"/>
    <cellStyle name="cf511" xfId="466"/>
    <cellStyle name="cf512" xfId="467"/>
    <cellStyle name="cf513" xfId="468"/>
    <cellStyle name="cf514" xfId="469"/>
    <cellStyle name="cf515" xfId="470"/>
    <cellStyle name="cf516" xfId="471"/>
    <cellStyle name="cf517" xfId="472"/>
    <cellStyle name="cf518" xfId="473"/>
    <cellStyle name="cf519" xfId="474"/>
    <cellStyle name="cf52" xfId="475"/>
    <cellStyle name="cf520" xfId="476"/>
    <cellStyle name="cf521" xfId="477"/>
    <cellStyle name="cf522" xfId="478"/>
    <cellStyle name="cf523" xfId="479"/>
    <cellStyle name="cf524" xfId="480"/>
    <cellStyle name="cf525" xfId="481"/>
    <cellStyle name="cf526" xfId="482"/>
    <cellStyle name="cf527" xfId="483"/>
    <cellStyle name="cf528" xfId="484"/>
    <cellStyle name="cf529" xfId="485"/>
    <cellStyle name="cf53" xfId="486"/>
    <cellStyle name="cf530" xfId="487"/>
    <cellStyle name="cf531" xfId="488"/>
    <cellStyle name="cf532" xfId="489"/>
    <cellStyle name="cf533" xfId="490"/>
    <cellStyle name="cf534" xfId="491"/>
    <cellStyle name="cf535" xfId="492"/>
    <cellStyle name="cf536" xfId="493"/>
    <cellStyle name="cf537" xfId="494"/>
    <cellStyle name="cf538" xfId="495"/>
    <cellStyle name="cf539" xfId="496"/>
    <cellStyle name="cf54" xfId="497"/>
    <cellStyle name="cf540" xfId="498"/>
    <cellStyle name="cf541" xfId="499"/>
    <cellStyle name="cf542" xfId="500"/>
    <cellStyle name="cf543" xfId="501"/>
    <cellStyle name="cf544" xfId="502"/>
    <cellStyle name="cf545" xfId="503"/>
    <cellStyle name="cf546" xfId="504"/>
    <cellStyle name="cf55" xfId="505"/>
    <cellStyle name="cf56" xfId="506"/>
    <cellStyle name="cf57" xfId="507"/>
    <cellStyle name="cf58" xfId="508"/>
    <cellStyle name="cf59" xfId="509"/>
    <cellStyle name="cf6" xfId="510"/>
    <cellStyle name="cf60" xfId="511"/>
    <cellStyle name="cf61" xfId="512"/>
    <cellStyle name="cf62" xfId="513"/>
    <cellStyle name="cf63" xfId="514"/>
    <cellStyle name="cf64" xfId="515"/>
    <cellStyle name="cf65" xfId="516"/>
    <cellStyle name="cf66" xfId="517"/>
    <cellStyle name="cf67" xfId="518"/>
    <cellStyle name="cf68" xfId="519"/>
    <cellStyle name="cf69" xfId="520"/>
    <cellStyle name="cf7" xfId="521"/>
    <cellStyle name="cf70" xfId="522"/>
    <cellStyle name="cf71" xfId="523"/>
    <cellStyle name="cf72" xfId="524"/>
    <cellStyle name="cf73" xfId="525"/>
    <cellStyle name="cf74" xfId="526"/>
    <cellStyle name="cf75" xfId="527"/>
    <cellStyle name="cf76" xfId="528"/>
    <cellStyle name="cf77" xfId="529"/>
    <cellStyle name="cf78" xfId="530"/>
    <cellStyle name="cf79" xfId="531"/>
    <cellStyle name="cf8" xfId="532"/>
    <cellStyle name="cf80" xfId="533"/>
    <cellStyle name="cf81" xfId="534"/>
    <cellStyle name="cf82" xfId="535"/>
    <cellStyle name="cf83" xfId="536"/>
    <cellStyle name="cf84" xfId="537"/>
    <cellStyle name="cf85" xfId="538"/>
    <cellStyle name="cf86" xfId="539"/>
    <cellStyle name="cf87" xfId="540"/>
    <cellStyle name="cf88" xfId="541"/>
    <cellStyle name="cf89" xfId="542"/>
    <cellStyle name="cf9" xfId="543"/>
    <cellStyle name="cf90" xfId="544"/>
    <cellStyle name="cf91" xfId="545"/>
    <cellStyle name="cf92" xfId="546"/>
    <cellStyle name="cf93" xfId="547"/>
    <cellStyle name="cf94" xfId="548"/>
    <cellStyle name="cf95" xfId="549"/>
    <cellStyle name="cf96" xfId="550"/>
    <cellStyle name="cf97" xfId="551"/>
    <cellStyle name="cf98" xfId="552"/>
    <cellStyle name="cf99" xfId="553"/>
    <cellStyle name="Error 9" xfId="554"/>
    <cellStyle name="Footnote 11" xfId="555"/>
    <cellStyle name="Good 12" xfId="556"/>
    <cellStyle name="Heading 1 14" xfId="557"/>
    <cellStyle name="Heading 13" xfId="558"/>
    <cellStyle name="Heading 2 15" xfId="559"/>
    <cellStyle name="Hyperlink" xfId="2" builtinId="8"/>
    <cellStyle name="Hyperlink 16" xfId="560"/>
    <cellStyle name="Moeda" xfId="1" builtinId="4"/>
    <cellStyle name="Neutral 17" xfId="561"/>
    <cellStyle name="Normal" xfId="0" builtinId="0"/>
    <cellStyle name="Note 18" xfId="562"/>
    <cellStyle name="Result 19" xfId="563"/>
    <cellStyle name="Status 20" xfId="564"/>
    <cellStyle name="Text 21" xfId="565"/>
    <cellStyle name="Warning 22" xfId="566"/>
  </cellStyles>
  <dxfs count="84"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"/>
        </a:ln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ECJP_kdOIJw9rAYSZVTCRbk5EWy3IlH/view?usp=drive_link" TargetMode="External"/><Relationship Id="rId13" Type="http://schemas.openxmlformats.org/officeDocument/2006/relationships/hyperlink" Target="https://drive.google.com/file/d/1ECJvU0Ln5fh-oXBJxVHjdK9yXw70UCql/view?usp=drive_link" TargetMode="External"/><Relationship Id="rId18" Type="http://schemas.openxmlformats.org/officeDocument/2006/relationships/hyperlink" Target="https://drive.google.com/file/d/1ci09UcHtg31JHnhM_WtskadhBx6UMkyB/view?usp=drive_link" TargetMode="External"/><Relationship Id="rId26" Type="http://schemas.openxmlformats.org/officeDocument/2006/relationships/hyperlink" Target="https://drive.google.com/file/d/1cTm9yszYXiBzC4slUxy8Plbsr_DyISp0/view?usp=drive_link" TargetMode="External"/><Relationship Id="rId39" Type="http://schemas.openxmlformats.org/officeDocument/2006/relationships/hyperlink" Target="https://drive.google.com/file/d/1cDwpqY-cDXOO97t0XKhcgg_466mD2JpT/view?usp=drive_link" TargetMode="External"/><Relationship Id="rId3" Type="http://schemas.openxmlformats.org/officeDocument/2006/relationships/hyperlink" Target="https://drive.google.com/file/d/16iiMC1QfpnzoYPSIQ97iy8Q3z2S-RWNW/view?usp=drive_link" TargetMode="External"/><Relationship Id="rId21" Type="http://schemas.openxmlformats.org/officeDocument/2006/relationships/hyperlink" Target="https://drive.google.com/file/d/13KjDzaJfmBV6Ujy2cP1hJoHRxjtuuS2Y/view?usp=drive_link" TargetMode="External"/><Relationship Id="rId34" Type="http://schemas.openxmlformats.org/officeDocument/2006/relationships/hyperlink" Target="https://drive.google.com/file/d/1lJyjJkCYiNRFXocygSijiv6ecZD4IFZ5/view?usp=drive_link" TargetMode="External"/><Relationship Id="rId7" Type="http://schemas.openxmlformats.org/officeDocument/2006/relationships/hyperlink" Target="https://drive.google.com/file/d/1kAtAV0C_LkLQpgMzIJn6-yeVlGlv3eYK/view?usp=drive_link" TargetMode="External"/><Relationship Id="rId12" Type="http://schemas.openxmlformats.org/officeDocument/2006/relationships/hyperlink" Target="https://drive.google.com/file/d/1Qd_ynj2xebfNFU74gg3yUZ_AqLglp32Q/view?usp=drive_link" TargetMode="External"/><Relationship Id="rId17" Type="http://schemas.openxmlformats.org/officeDocument/2006/relationships/hyperlink" Target="https://drive.google.com/file/d/1uudxZTxp96zx8-l9OcnDL54vvQMuzavp/view?usp=drive_link" TargetMode="External"/><Relationship Id="rId25" Type="http://schemas.openxmlformats.org/officeDocument/2006/relationships/hyperlink" Target="https://drive.google.com/file/d/1VWVOycSfFKr__vqHPPDQGEEIAdLghCvA/view?usp=drive_link" TargetMode="External"/><Relationship Id="rId33" Type="http://schemas.openxmlformats.org/officeDocument/2006/relationships/hyperlink" Target="https://drive.google.com/file/d/1X4fqbfhaDcnyBLMCRZwlWS8Ma7e_Dfao/view?usp=drive_link" TargetMode="External"/><Relationship Id="rId38" Type="http://schemas.openxmlformats.org/officeDocument/2006/relationships/hyperlink" Target="https://drive.google.com/file/d/1PiE4_YhzZQqKGXHLtJUe5IicEYRAIb9T/view?usp=drive_link" TargetMode="External"/><Relationship Id="rId2" Type="http://schemas.openxmlformats.org/officeDocument/2006/relationships/hyperlink" Target="https://drive.google.com/file/d/1jPEkzt9BMCuoWdXmdt5SlnOoAp6At-yM/view?usp=drive_link" TargetMode="External"/><Relationship Id="rId16" Type="http://schemas.openxmlformats.org/officeDocument/2006/relationships/hyperlink" Target="https://drive.google.com/file/d/1xYWy7RkRRngDlPBNdPVx7hXhclNY83NA/view?usp=drive_link" TargetMode="External"/><Relationship Id="rId20" Type="http://schemas.openxmlformats.org/officeDocument/2006/relationships/hyperlink" Target="https://drive.google.com/file/d/162fA2gJot67E23ceq2X6Ns5uklODpzv9/view?usp=drive_link" TargetMode="External"/><Relationship Id="rId29" Type="http://schemas.openxmlformats.org/officeDocument/2006/relationships/hyperlink" Target="https://drive.google.com/file/d/1DhSoznl4KRKLXPV90mNazT0nNO1xIN8u/view?usp=drive_link" TargetMode="External"/><Relationship Id="rId1" Type="http://schemas.openxmlformats.org/officeDocument/2006/relationships/hyperlink" Target="https://drive.google.com/file/d/1_TmFnVwNfIeRIu5Cs4S0NlUDC12oHeAD/view?usp=drive_link" TargetMode="External"/><Relationship Id="rId6" Type="http://schemas.openxmlformats.org/officeDocument/2006/relationships/hyperlink" Target="https://drive.google.com/file/d/11tyl5co06cri4XRN_A6gDwKS8H72sceL/view?usp=drive_link" TargetMode="External"/><Relationship Id="rId11" Type="http://schemas.openxmlformats.org/officeDocument/2006/relationships/hyperlink" Target="https://drive.google.com/file/d/1BQfuy4n2zlOB-jexQifaRzwPMcoqDlNb/view?usp=drive_link" TargetMode="External"/><Relationship Id="rId24" Type="http://schemas.openxmlformats.org/officeDocument/2006/relationships/hyperlink" Target="https://drive.google.com/file/d/10mEjI46pkJWPTZPHUV8n6KiKuwnx2f_P/view?usp=drive_link" TargetMode="External"/><Relationship Id="rId32" Type="http://schemas.openxmlformats.org/officeDocument/2006/relationships/hyperlink" Target="https://drive.google.com/file/d/1_2RTiOCETTHZkxvvWXqrIwyorTKb1k1t/view?usp=drive_link" TargetMode="External"/><Relationship Id="rId37" Type="http://schemas.openxmlformats.org/officeDocument/2006/relationships/hyperlink" Target="https://drive.google.com/file/d/1Xzrso3B789FxBTwL6DeV7b6fGLrxWQfR/view?usp=drive_link" TargetMode="External"/><Relationship Id="rId40" Type="http://schemas.openxmlformats.org/officeDocument/2006/relationships/hyperlink" Target="https://drive.google.com/file/d/1u3OW1dmbabAzDiClsfzYAc2WujEnGpwj/view?usp=drive_link" TargetMode="External"/><Relationship Id="rId5" Type="http://schemas.openxmlformats.org/officeDocument/2006/relationships/hyperlink" Target="https://drive.google.com/file/d/1EBi_9axABTqZFTokkoWadpXyu_sj1vVJ/view?usp=drive_link" TargetMode="External"/><Relationship Id="rId15" Type="http://schemas.openxmlformats.org/officeDocument/2006/relationships/hyperlink" Target="https://drive.google.com/file/d/1ldejOzU2yLCjcV8rgYYd7g6kUV57ChmR/view?usp=drive_link" TargetMode="External"/><Relationship Id="rId23" Type="http://schemas.openxmlformats.org/officeDocument/2006/relationships/hyperlink" Target="https://drive.google.com/file/d/1T14vmhHvlnplffII3PbB0QwTYsMHYL7K/view?usp=drive_link" TargetMode="External"/><Relationship Id="rId28" Type="http://schemas.openxmlformats.org/officeDocument/2006/relationships/hyperlink" Target="https://drive.google.com/file/d/1YA68OqCenbeEo5pnRoa9PyNrkYTdN_i0/view?usp=drive_link" TargetMode="External"/><Relationship Id="rId36" Type="http://schemas.openxmlformats.org/officeDocument/2006/relationships/hyperlink" Target="https://drive.google.com/file/d/1YOgsmtvadull2oGyhvaJB0gur3l1cocw/view?usp=drive_link" TargetMode="External"/><Relationship Id="rId10" Type="http://schemas.openxmlformats.org/officeDocument/2006/relationships/hyperlink" Target="https://drive.google.com/file/d/1U9cRSUIHcoEAZYMizOyulT8SPnZKtRIb/view?usp=drive_link" TargetMode="External"/><Relationship Id="rId19" Type="http://schemas.openxmlformats.org/officeDocument/2006/relationships/hyperlink" Target="https://drive.google.com/file/d/1XA2vJ-UPVujcT2_Ux37pHpsEFmlHsleO/view?usp=drive_link" TargetMode="External"/><Relationship Id="rId31" Type="http://schemas.openxmlformats.org/officeDocument/2006/relationships/hyperlink" Target="https://drive.google.com/file/d/1LBG3L_ILabiOCM_L1oD8PxwwSfsp9cxj/view?usp=drive_link" TargetMode="External"/><Relationship Id="rId4" Type="http://schemas.openxmlformats.org/officeDocument/2006/relationships/hyperlink" Target="https://drive.google.com/file/d/1-_1xiz_w-ESZdBqbgaBnggdQTjSbLHXS/view?usp=drive_link" TargetMode="External"/><Relationship Id="rId9" Type="http://schemas.openxmlformats.org/officeDocument/2006/relationships/hyperlink" Target="https://drive.google.com/file/d/1RM4zCM64pixSjEgl_Bi_PH3sCqSagVUi/view?usp=drive_link" TargetMode="External"/><Relationship Id="rId14" Type="http://schemas.openxmlformats.org/officeDocument/2006/relationships/hyperlink" Target="https://drive.google.com/file/d/1SJTAhLqQmfHDZpNHA0qZ3IQm6E3WA3_e/view?usp=drive_link" TargetMode="External"/><Relationship Id="rId22" Type="http://schemas.openxmlformats.org/officeDocument/2006/relationships/hyperlink" Target="https://drive.google.com/file/d/1tiHb2J4J0KYCYkQ4wtYMVjjyc0BZtpy1/view?usp=drive_link" TargetMode="External"/><Relationship Id="rId27" Type="http://schemas.openxmlformats.org/officeDocument/2006/relationships/hyperlink" Target="https://drive.google.com/file/d/1ga_1BgJKY0ZHcSD-gmUX3Kx0zLV3lU8c/view?usp=drive_link" TargetMode="External"/><Relationship Id="rId30" Type="http://schemas.openxmlformats.org/officeDocument/2006/relationships/hyperlink" Target="https://drive.google.com/file/d/1UEYCBHzxpoH4h5FkjZUKlgJLj7KEQwDr/view?usp=drive_link" TargetMode="External"/><Relationship Id="rId35" Type="http://schemas.openxmlformats.org/officeDocument/2006/relationships/hyperlink" Target="https://drive.google.com/file/d/1e-_G1kVQdrz_r1SvBrWf4r29epKfa0s8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iFuRiwSHja4oTN8gsBFFAN97XkUu-klG/view?usp=drive_link" TargetMode="External"/><Relationship Id="rId1" Type="http://schemas.openxmlformats.org/officeDocument/2006/relationships/hyperlink" Target="https://drive.google.com/file/d/16iqhYmmulR9nZhjsgEr6Wu_y_0nXC4E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topLeftCell="G44" zoomScale="78" zoomScaleNormal="78" workbookViewId="0">
      <selection activeCell="A3" sqref="A3:R54"/>
    </sheetView>
  </sheetViews>
  <sheetFormatPr defaultColWidth="9.109375" defaultRowHeight="13.8"/>
  <cols>
    <col min="1" max="1" width="16" style="15" customWidth="1"/>
    <col min="2" max="2" width="12.5546875" style="15" customWidth="1"/>
    <col min="3" max="3" width="34" style="15" customWidth="1"/>
    <col min="4" max="4" width="17.5546875" style="15" customWidth="1"/>
    <col min="5" max="5" width="43.5546875" style="15" customWidth="1"/>
    <col min="6" max="6" width="15.6640625" style="16" customWidth="1"/>
    <col min="7" max="7" width="15.109375" style="16" customWidth="1"/>
    <col min="8" max="8" width="11.5546875" style="17" customWidth="1"/>
    <col min="9" max="9" width="9.88671875" style="17" customWidth="1"/>
    <col min="10" max="10" width="8.5546875" style="17" customWidth="1"/>
    <col min="11" max="11" width="19.44140625" style="18" customWidth="1"/>
    <col min="12" max="12" width="18.6640625" style="18" customWidth="1"/>
    <col min="13" max="13" width="18.6640625" style="19" customWidth="1"/>
    <col min="14" max="14" width="21.33203125" style="19" customWidth="1"/>
    <col min="15" max="15" width="16.33203125" style="17" customWidth="1"/>
    <col min="16" max="16" width="8.33203125" style="20" customWidth="1"/>
    <col min="17" max="17" width="25.6640625" style="17" customWidth="1"/>
    <col min="18" max="18" width="92" style="17" customWidth="1"/>
    <col min="19" max="1010" width="12.109375" style="17" customWidth="1"/>
    <col min="1011" max="16384" width="9.109375" style="17"/>
  </cols>
  <sheetData>
    <row r="1" spans="1:18" ht="61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/>
      <c r="H1" s="13" t="s">
        <v>6</v>
      </c>
      <c r="I1" s="13"/>
      <c r="J1" s="13"/>
      <c r="K1" s="12" t="s">
        <v>7</v>
      </c>
      <c r="L1" s="12" t="s">
        <v>8</v>
      </c>
      <c r="M1" s="12" t="s">
        <v>9</v>
      </c>
      <c r="N1" s="12" t="s">
        <v>10</v>
      </c>
      <c r="O1" s="11" t="s">
        <v>11</v>
      </c>
      <c r="P1" s="10" t="s">
        <v>12</v>
      </c>
      <c r="Q1" s="9" t="s">
        <v>13</v>
      </c>
      <c r="R1" s="11" t="s">
        <v>14</v>
      </c>
    </row>
    <row r="2" spans="1:18" ht="41.4">
      <c r="A2" s="14"/>
      <c r="B2" s="14"/>
      <c r="C2" s="14"/>
      <c r="D2" s="14"/>
      <c r="E2" s="14"/>
      <c r="F2" s="21" t="s">
        <v>15</v>
      </c>
      <c r="G2" s="21" t="s">
        <v>16</v>
      </c>
      <c r="H2" s="21" t="s">
        <v>15</v>
      </c>
      <c r="I2" s="21" t="s">
        <v>16</v>
      </c>
      <c r="J2" s="21" t="s">
        <v>17</v>
      </c>
      <c r="K2" s="12"/>
      <c r="L2" s="12"/>
      <c r="M2" s="12"/>
      <c r="N2" s="12"/>
      <c r="O2" s="11"/>
      <c r="P2" s="10"/>
      <c r="Q2" s="9"/>
      <c r="R2" s="11"/>
    </row>
    <row r="3" spans="1:18" ht="16.5" customHeight="1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7">
        <v>1548673.76</v>
      </c>
      <c r="G3" s="7">
        <v>1548673.76</v>
      </c>
      <c r="H3" s="6">
        <v>44333</v>
      </c>
      <c r="I3" s="5">
        <v>46159</v>
      </c>
      <c r="J3" s="4" t="e">
        <f ca="1">_xlfn.DAYS(I3,TODAY())</f>
        <v>#NAME?</v>
      </c>
      <c r="K3" s="3" t="s">
        <v>23</v>
      </c>
      <c r="L3" s="2"/>
      <c r="M3" s="3" t="s">
        <v>24</v>
      </c>
      <c r="N3" s="3" t="s">
        <v>25</v>
      </c>
      <c r="O3" s="1" t="s">
        <v>26</v>
      </c>
      <c r="P3" s="197">
        <v>4</v>
      </c>
      <c r="Q3" s="29" t="s">
        <v>27</v>
      </c>
      <c r="R3" s="30"/>
    </row>
    <row r="4" spans="1:18">
      <c r="A4" s="8"/>
      <c r="B4" s="8"/>
      <c r="C4" s="8"/>
      <c r="D4" s="8"/>
      <c r="E4" s="8"/>
      <c r="F4" s="7"/>
      <c r="G4" s="7"/>
      <c r="H4" s="6"/>
      <c r="I4" s="5"/>
      <c r="J4" s="4"/>
      <c r="K4" s="3"/>
      <c r="L4" s="2"/>
      <c r="M4" s="3"/>
      <c r="N4" s="3"/>
      <c r="O4" s="1"/>
      <c r="P4" s="197"/>
      <c r="Q4" s="29" t="s">
        <v>28</v>
      </c>
      <c r="R4" s="30"/>
    </row>
    <row r="5" spans="1:18">
      <c r="A5" s="8"/>
      <c r="B5" s="8"/>
      <c r="C5" s="8"/>
      <c r="D5" s="8"/>
      <c r="E5" s="8"/>
      <c r="F5" s="7"/>
      <c r="G5" s="7"/>
      <c r="H5" s="6"/>
      <c r="I5" s="5"/>
      <c r="J5" s="4"/>
      <c r="K5" s="3"/>
      <c r="L5" s="2"/>
      <c r="M5" s="3"/>
      <c r="N5" s="3"/>
      <c r="O5" s="1"/>
      <c r="P5" s="197"/>
      <c r="Q5" s="29" t="s">
        <v>29</v>
      </c>
      <c r="R5" s="30"/>
    </row>
    <row r="6" spans="1:18">
      <c r="A6" s="8"/>
      <c r="B6" s="8"/>
      <c r="C6" s="8"/>
      <c r="D6" s="8"/>
      <c r="E6" s="8"/>
      <c r="F6" s="7"/>
      <c r="G6" s="7"/>
      <c r="H6" s="6"/>
      <c r="I6" s="5"/>
      <c r="J6" s="4"/>
      <c r="K6" s="3"/>
      <c r="L6" s="2"/>
      <c r="M6" s="3"/>
      <c r="N6" s="3"/>
      <c r="O6" s="1"/>
      <c r="P6" s="197"/>
      <c r="Q6" s="29" t="s">
        <v>30</v>
      </c>
      <c r="R6" s="30"/>
    </row>
    <row r="7" spans="1:18" ht="66" customHeight="1">
      <c r="A7" s="8"/>
      <c r="B7" s="8"/>
      <c r="C7" s="8"/>
      <c r="D7" s="8"/>
      <c r="E7" s="8"/>
      <c r="F7" s="7"/>
      <c r="G7" s="7"/>
      <c r="H7" s="6"/>
      <c r="I7" s="5"/>
      <c r="J7" s="4"/>
      <c r="K7" s="3"/>
      <c r="L7" s="2"/>
      <c r="M7" s="3"/>
      <c r="N7" s="3"/>
      <c r="O7" s="1"/>
      <c r="P7" s="197"/>
      <c r="Q7" s="31" t="s">
        <v>31</v>
      </c>
      <c r="R7" s="32"/>
    </row>
    <row r="8" spans="1:18" ht="16.5" customHeight="1">
      <c r="A8" s="198" t="s">
        <v>32</v>
      </c>
      <c r="B8" s="198" t="s">
        <v>33</v>
      </c>
      <c r="C8" s="198" t="s">
        <v>34</v>
      </c>
      <c r="D8" s="198" t="s">
        <v>35</v>
      </c>
      <c r="E8" s="199" t="s">
        <v>36</v>
      </c>
      <c r="F8" s="200">
        <v>100260</v>
      </c>
      <c r="G8" s="201">
        <v>106639.2</v>
      </c>
      <c r="H8" s="202">
        <v>44732</v>
      </c>
      <c r="I8" s="203">
        <v>46193</v>
      </c>
      <c r="J8" s="204" t="e">
        <f ca="1">_xlfn.DAYS(I8,TODAY())</f>
        <v>#NAME?</v>
      </c>
      <c r="K8" s="205" t="s">
        <v>37</v>
      </c>
      <c r="L8" s="206"/>
      <c r="M8" s="207"/>
      <c r="N8" s="208" t="s">
        <v>38</v>
      </c>
      <c r="O8" s="208" t="s">
        <v>26</v>
      </c>
      <c r="P8" s="4">
        <v>3</v>
      </c>
      <c r="Q8" s="39" t="s">
        <v>27</v>
      </c>
      <c r="R8" s="40" t="s">
        <v>39</v>
      </c>
    </row>
    <row r="9" spans="1:18" ht="27.6">
      <c r="A9" s="198"/>
      <c r="B9" s="198"/>
      <c r="C9" s="198"/>
      <c r="D9" s="198"/>
      <c r="E9" s="198"/>
      <c r="F9" s="200"/>
      <c r="G9" s="201"/>
      <c r="H9" s="202"/>
      <c r="I9" s="203"/>
      <c r="J9" s="204"/>
      <c r="K9" s="205"/>
      <c r="L9" s="206"/>
      <c r="M9" s="207"/>
      <c r="N9" s="208"/>
      <c r="O9" s="208"/>
      <c r="P9" s="4"/>
      <c r="Q9" s="41" t="s">
        <v>40</v>
      </c>
      <c r="R9" s="40" t="s">
        <v>41</v>
      </c>
    </row>
    <row r="10" spans="1:18" ht="33" customHeight="1">
      <c r="A10" s="198"/>
      <c r="B10" s="198"/>
      <c r="C10" s="198"/>
      <c r="D10" s="198"/>
      <c r="E10" s="198"/>
      <c r="F10" s="200"/>
      <c r="G10" s="201"/>
      <c r="H10" s="202"/>
      <c r="I10" s="203"/>
      <c r="J10" s="204"/>
      <c r="K10" s="205"/>
      <c r="L10" s="206"/>
      <c r="M10" s="207"/>
      <c r="N10" s="208"/>
      <c r="O10" s="208"/>
      <c r="P10" s="4"/>
      <c r="Q10" s="41" t="s">
        <v>42</v>
      </c>
      <c r="R10" s="40"/>
    </row>
    <row r="11" spans="1:18" s="43" customFormat="1">
      <c r="A11" s="198"/>
      <c r="B11" s="198"/>
      <c r="C11" s="198"/>
      <c r="D11" s="198"/>
      <c r="E11" s="199"/>
      <c r="F11" s="200"/>
      <c r="G11" s="201"/>
      <c r="H11" s="202"/>
      <c r="I11" s="203"/>
      <c r="J11" s="204"/>
      <c r="K11" s="205"/>
      <c r="L11" s="206"/>
      <c r="M11" s="207"/>
      <c r="N11" s="208"/>
      <c r="O11" s="208"/>
      <c r="P11" s="4"/>
      <c r="Q11" s="41" t="s">
        <v>30</v>
      </c>
      <c r="R11" s="42" t="s">
        <v>43</v>
      </c>
    </row>
    <row r="12" spans="1:18" s="43" customFormat="1" ht="16.5" customHeight="1">
      <c r="A12" s="209" t="s">
        <v>44</v>
      </c>
      <c r="B12" s="210" t="s">
        <v>45</v>
      </c>
      <c r="C12" s="210" t="s">
        <v>46</v>
      </c>
      <c r="D12" s="210" t="s">
        <v>47</v>
      </c>
      <c r="E12" s="210" t="s">
        <v>48</v>
      </c>
      <c r="F12" s="211">
        <v>14146958.66</v>
      </c>
      <c r="G12" s="211">
        <v>14146958.66</v>
      </c>
      <c r="H12" s="212">
        <v>44834</v>
      </c>
      <c r="I12" s="212">
        <v>46295</v>
      </c>
      <c r="J12" s="204" t="e">
        <f ca="1">_xlfn.DAYS(I12,TODAY())</f>
        <v>#NAME?</v>
      </c>
      <c r="K12" s="213" t="s">
        <v>49</v>
      </c>
      <c r="L12" s="213" t="s">
        <v>23</v>
      </c>
      <c r="M12" s="213" t="s">
        <v>50</v>
      </c>
      <c r="N12" s="1" t="s">
        <v>51</v>
      </c>
      <c r="O12" s="1" t="s">
        <v>26</v>
      </c>
      <c r="P12" s="197">
        <v>4</v>
      </c>
      <c r="Q12" s="29" t="s">
        <v>27</v>
      </c>
      <c r="R12" s="47"/>
    </row>
    <row r="13" spans="1:18" s="43" customFormat="1">
      <c r="A13" s="209"/>
      <c r="B13" s="210"/>
      <c r="C13" s="210"/>
      <c r="D13" s="210"/>
      <c r="E13" s="210"/>
      <c r="F13" s="211"/>
      <c r="G13" s="211"/>
      <c r="H13" s="212"/>
      <c r="I13" s="212"/>
      <c r="J13" s="204"/>
      <c r="K13" s="213"/>
      <c r="L13" s="213"/>
      <c r="M13" s="213"/>
      <c r="N13" s="1"/>
      <c r="O13" s="1"/>
      <c r="P13" s="197"/>
      <c r="Q13" s="48" t="s">
        <v>28</v>
      </c>
      <c r="R13" s="47"/>
    </row>
    <row r="14" spans="1:18" s="43" customFormat="1">
      <c r="A14" s="209"/>
      <c r="B14" s="210"/>
      <c r="C14" s="210"/>
      <c r="D14" s="210"/>
      <c r="E14" s="210"/>
      <c r="F14" s="211"/>
      <c r="G14" s="211"/>
      <c r="H14" s="212"/>
      <c r="I14" s="212"/>
      <c r="J14" s="204"/>
      <c r="K14" s="213"/>
      <c r="L14" s="213"/>
      <c r="M14" s="213"/>
      <c r="N14" s="1"/>
      <c r="O14" s="1"/>
      <c r="P14" s="197"/>
      <c r="Q14" s="48" t="s">
        <v>29</v>
      </c>
      <c r="R14" s="47"/>
    </row>
    <row r="15" spans="1:18" s="43" customFormat="1" ht="27.6">
      <c r="A15" s="209"/>
      <c r="B15" s="210"/>
      <c r="C15" s="210"/>
      <c r="D15" s="210"/>
      <c r="E15" s="210"/>
      <c r="F15" s="211"/>
      <c r="G15" s="211"/>
      <c r="H15" s="212"/>
      <c r="I15" s="212"/>
      <c r="J15" s="204"/>
      <c r="K15" s="213"/>
      <c r="L15" s="213"/>
      <c r="M15" s="213"/>
      <c r="N15" s="1"/>
      <c r="O15" s="1"/>
      <c r="P15" s="197"/>
      <c r="Q15" s="48" t="s">
        <v>52</v>
      </c>
      <c r="R15" s="47"/>
    </row>
    <row r="16" spans="1:18" s="43" customFormat="1">
      <c r="A16" s="209"/>
      <c r="B16" s="210"/>
      <c r="C16" s="210"/>
      <c r="D16" s="210"/>
      <c r="E16" s="210"/>
      <c r="F16" s="211"/>
      <c r="G16" s="211"/>
      <c r="H16" s="212"/>
      <c r="I16" s="212"/>
      <c r="J16" s="204"/>
      <c r="K16" s="213"/>
      <c r="L16" s="213"/>
      <c r="M16" s="213"/>
      <c r="N16" s="1"/>
      <c r="O16" s="1"/>
      <c r="P16" s="197"/>
      <c r="Q16" s="31" t="s">
        <v>53</v>
      </c>
      <c r="R16" s="49"/>
    </row>
    <row r="17" spans="1:18" s="43" customFormat="1" ht="18.75" customHeight="1">
      <c r="A17" s="214" t="s">
        <v>54</v>
      </c>
      <c r="B17" s="198" t="s">
        <v>55</v>
      </c>
      <c r="C17" s="198" t="s">
        <v>56</v>
      </c>
      <c r="D17" s="198" t="s">
        <v>57</v>
      </c>
      <c r="E17" s="198" t="s">
        <v>58</v>
      </c>
      <c r="F17" s="215">
        <v>145134</v>
      </c>
      <c r="G17" s="215">
        <v>145134</v>
      </c>
      <c r="H17" s="216">
        <v>45009</v>
      </c>
      <c r="I17" s="216">
        <v>46470</v>
      </c>
      <c r="J17" s="4" t="e">
        <f ca="1">_xlfn.DAYS(I17,TODAY())</f>
        <v>#NAME?</v>
      </c>
      <c r="K17" s="207" t="s">
        <v>37</v>
      </c>
      <c r="L17" s="207"/>
      <c r="M17" s="207" t="s">
        <v>59</v>
      </c>
      <c r="N17" s="208" t="s">
        <v>60</v>
      </c>
      <c r="O17" s="208" t="s">
        <v>61</v>
      </c>
      <c r="P17" s="4">
        <v>2</v>
      </c>
      <c r="Q17" s="53" t="s">
        <v>27</v>
      </c>
      <c r="R17" s="54" t="s">
        <v>62</v>
      </c>
    </row>
    <row r="18" spans="1:18" s="43" customFormat="1" ht="18.75" customHeight="1">
      <c r="A18" s="214"/>
      <c r="B18" s="198"/>
      <c r="C18" s="198"/>
      <c r="D18" s="198"/>
      <c r="E18" s="198"/>
      <c r="F18" s="215"/>
      <c r="G18" s="215"/>
      <c r="H18" s="216"/>
      <c r="I18" s="216"/>
      <c r="J18" s="4"/>
      <c r="K18" s="207"/>
      <c r="L18" s="207"/>
      <c r="M18" s="207"/>
      <c r="N18" s="208"/>
      <c r="O18" s="208"/>
      <c r="P18" s="4"/>
      <c r="Q18" s="55" t="s">
        <v>28</v>
      </c>
      <c r="R18" s="54" t="s">
        <v>63</v>
      </c>
    </row>
    <row r="19" spans="1:18" s="43" customFormat="1" ht="18.75" customHeight="1">
      <c r="A19" s="214"/>
      <c r="B19" s="198"/>
      <c r="C19" s="198"/>
      <c r="D19" s="198"/>
      <c r="E19" s="198"/>
      <c r="F19" s="215"/>
      <c r="G19" s="215"/>
      <c r="H19" s="216"/>
      <c r="I19" s="216"/>
      <c r="J19" s="4"/>
      <c r="K19" s="207"/>
      <c r="L19" s="207"/>
      <c r="M19" s="207"/>
      <c r="N19" s="208"/>
      <c r="O19" s="208"/>
      <c r="P19" s="4"/>
      <c r="Q19" s="55" t="s">
        <v>29</v>
      </c>
      <c r="R19" s="54" t="s">
        <v>64</v>
      </c>
    </row>
    <row r="20" spans="1:18" s="43" customFormat="1" ht="27.6">
      <c r="A20" s="214"/>
      <c r="B20" s="198"/>
      <c r="C20" s="198"/>
      <c r="D20" s="198"/>
      <c r="E20" s="198"/>
      <c r="F20" s="215"/>
      <c r="G20" s="215"/>
      <c r="H20" s="216"/>
      <c r="I20" s="216"/>
      <c r="J20" s="4"/>
      <c r="K20" s="207"/>
      <c r="L20" s="207"/>
      <c r="M20" s="207"/>
      <c r="N20" s="208"/>
      <c r="O20" s="208"/>
      <c r="P20" s="4"/>
      <c r="Q20" s="56" t="s">
        <v>65</v>
      </c>
      <c r="R20" s="57" t="s">
        <v>66</v>
      </c>
    </row>
    <row r="21" spans="1:18" s="43" customFormat="1" ht="16.5" customHeight="1">
      <c r="A21" s="214" t="s">
        <v>67</v>
      </c>
      <c r="B21" s="198" t="s">
        <v>68</v>
      </c>
      <c r="C21" s="198" t="s">
        <v>69</v>
      </c>
      <c r="D21" s="198" t="s">
        <v>70</v>
      </c>
      <c r="E21" s="198" t="s">
        <v>71</v>
      </c>
      <c r="F21" s="215">
        <v>395350</v>
      </c>
      <c r="G21" s="215">
        <v>400411.25</v>
      </c>
      <c r="H21" s="216">
        <v>45072</v>
      </c>
      <c r="I21" s="216">
        <v>46168</v>
      </c>
      <c r="J21" s="4" t="e">
        <f ca="1">_xlfn.DAYS(I21,TODAY())</f>
        <v>#NAME?</v>
      </c>
      <c r="K21" s="207" t="s">
        <v>37</v>
      </c>
      <c r="L21" s="207" t="s">
        <v>72</v>
      </c>
      <c r="M21" s="207" t="s">
        <v>73</v>
      </c>
      <c r="N21" s="208" t="s">
        <v>38</v>
      </c>
      <c r="O21" s="208" t="s">
        <v>61</v>
      </c>
      <c r="P21" s="4">
        <v>2</v>
      </c>
      <c r="Q21" s="55" t="s">
        <v>27</v>
      </c>
      <c r="R21" s="54" t="s">
        <v>74</v>
      </c>
    </row>
    <row r="22" spans="1:18" s="43" customFormat="1" ht="27.6">
      <c r="A22" s="214"/>
      <c r="B22" s="198"/>
      <c r="C22" s="198"/>
      <c r="D22" s="198"/>
      <c r="E22" s="198"/>
      <c r="F22" s="215"/>
      <c r="G22" s="215"/>
      <c r="H22" s="216"/>
      <c r="I22" s="216"/>
      <c r="J22" s="4"/>
      <c r="K22" s="207"/>
      <c r="L22" s="207"/>
      <c r="M22" s="207"/>
      <c r="N22" s="208"/>
      <c r="O22" s="208"/>
      <c r="P22" s="4"/>
      <c r="Q22" s="55" t="s">
        <v>75</v>
      </c>
      <c r="R22" s="57" t="s">
        <v>76</v>
      </c>
    </row>
    <row r="23" spans="1:18" s="43" customFormat="1" ht="27.6">
      <c r="A23" s="214"/>
      <c r="B23" s="198"/>
      <c r="C23" s="198"/>
      <c r="D23" s="198"/>
      <c r="E23" s="198"/>
      <c r="F23" s="215"/>
      <c r="G23" s="215"/>
      <c r="H23" s="216"/>
      <c r="I23" s="216"/>
      <c r="J23" s="4"/>
      <c r="K23" s="207"/>
      <c r="L23" s="207"/>
      <c r="M23" s="207"/>
      <c r="N23" s="208"/>
      <c r="O23" s="208"/>
      <c r="P23" s="4"/>
      <c r="Q23" s="55" t="s">
        <v>77</v>
      </c>
      <c r="R23" s="58" t="s">
        <v>78</v>
      </c>
    </row>
    <row r="24" spans="1:18" s="43" customFormat="1" ht="16.5" customHeight="1">
      <c r="A24" s="214" t="s">
        <v>79</v>
      </c>
      <c r="B24" s="198" t="s">
        <v>80</v>
      </c>
      <c r="C24" s="198" t="s">
        <v>81</v>
      </c>
      <c r="D24" s="198" t="s">
        <v>82</v>
      </c>
      <c r="E24" s="198" t="s">
        <v>83</v>
      </c>
      <c r="F24" s="215">
        <v>99915</v>
      </c>
      <c r="G24" s="215">
        <v>103601.86</v>
      </c>
      <c r="H24" s="216">
        <v>45107</v>
      </c>
      <c r="I24" s="216">
        <v>46203</v>
      </c>
      <c r="J24" s="4" t="e">
        <f ca="1">_xlfn.DAYS(I24,TODAY())</f>
        <v>#NAME?</v>
      </c>
      <c r="K24" s="207" t="s">
        <v>37</v>
      </c>
      <c r="L24" s="207"/>
      <c r="M24" s="207"/>
      <c r="N24" s="208" t="s">
        <v>84</v>
      </c>
      <c r="O24" s="208" t="s">
        <v>61</v>
      </c>
      <c r="P24" s="4">
        <v>2</v>
      </c>
      <c r="Q24" s="55" t="s">
        <v>27</v>
      </c>
      <c r="R24" s="59" t="s">
        <v>85</v>
      </c>
    </row>
    <row r="25" spans="1:18" s="43" customFormat="1">
      <c r="A25" s="214"/>
      <c r="B25" s="198"/>
      <c r="C25" s="198"/>
      <c r="D25" s="198"/>
      <c r="E25" s="198"/>
      <c r="F25" s="215"/>
      <c r="G25" s="215"/>
      <c r="H25" s="216"/>
      <c r="I25" s="216"/>
      <c r="J25" s="4"/>
      <c r="K25" s="207"/>
      <c r="L25" s="207"/>
      <c r="M25" s="207"/>
      <c r="N25" s="208"/>
      <c r="O25" s="208"/>
      <c r="P25" s="4"/>
      <c r="Q25" s="55" t="s">
        <v>86</v>
      </c>
      <c r="R25" s="59" t="s">
        <v>87</v>
      </c>
    </row>
    <row r="26" spans="1:18" s="43" customFormat="1">
      <c r="A26" s="214"/>
      <c r="B26" s="198"/>
      <c r="C26" s="198"/>
      <c r="D26" s="198"/>
      <c r="E26" s="198"/>
      <c r="F26" s="215"/>
      <c r="G26" s="215"/>
      <c r="H26" s="216"/>
      <c r="I26" s="216"/>
      <c r="J26" s="4"/>
      <c r="K26" s="207"/>
      <c r="L26" s="207"/>
      <c r="M26" s="207"/>
      <c r="N26" s="208"/>
      <c r="O26" s="208"/>
      <c r="P26" s="4"/>
      <c r="Q26" s="55" t="s">
        <v>29</v>
      </c>
      <c r="R26" s="59" t="s">
        <v>88</v>
      </c>
    </row>
    <row r="27" spans="1:18" s="43" customFormat="1" ht="16.5" customHeight="1">
      <c r="A27" s="214" t="s">
        <v>89</v>
      </c>
      <c r="B27" s="198" t="s">
        <v>90</v>
      </c>
      <c r="C27" s="198" t="s">
        <v>91</v>
      </c>
      <c r="D27" s="198" t="s">
        <v>92</v>
      </c>
      <c r="E27" s="198" t="s">
        <v>93</v>
      </c>
      <c r="F27" s="215">
        <v>9813.36</v>
      </c>
      <c r="G27" s="215">
        <v>8001.6</v>
      </c>
      <c r="H27" s="216">
        <v>45168</v>
      </c>
      <c r="I27" s="216">
        <v>46264</v>
      </c>
      <c r="J27" s="4" t="e">
        <f ca="1">_xlfn.DAYS(I27,TODAY())</f>
        <v>#NAME?</v>
      </c>
      <c r="K27" s="207" t="s">
        <v>94</v>
      </c>
      <c r="L27" s="207"/>
      <c r="M27" s="207" t="s">
        <v>95</v>
      </c>
      <c r="N27" s="208" t="s">
        <v>96</v>
      </c>
      <c r="O27" s="214" t="s">
        <v>26</v>
      </c>
      <c r="P27" s="4">
        <v>1</v>
      </c>
      <c r="Q27" s="55" t="s">
        <v>27</v>
      </c>
      <c r="R27" s="59" t="s">
        <v>97</v>
      </c>
    </row>
    <row r="28" spans="1:18" s="43" customFormat="1" ht="27.6">
      <c r="A28" s="214"/>
      <c r="B28" s="198"/>
      <c r="C28" s="198"/>
      <c r="D28" s="198"/>
      <c r="E28" s="198"/>
      <c r="F28" s="215"/>
      <c r="G28" s="215"/>
      <c r="H28" s="216"/>
      <c r="I28" s="216"/>
      <c r="J28" s="4"/>
      <c r="K28" s="207"/>
      <c r="L28" s="207"/>
      <c r="M28" s="207"/>
      <c r="N28" s="208"/>
      <c r="O28" s="214"/>
      <c r="P28" s="4"/>
      <c r="Q28" s="60" t="s">
        <v>98</v>
      </c>
      <c r="R28" s="61" t="s">
        <v>99</v>
      </c>
    </row>
    <row r="29" spans="1:18" s="43" customFormat="1">
      <c r="A29" s="214"/>
      <c r="B29" s="198"/>
      <c r="C29" s="198"/>
      <c r="D29" s="198"/>
      <c r="E29" s="198"/>
      <c r="F29" s="215"/>
      <c r="G29" s="215"/>
      <c r="H29" s="216"/>
      <c r="I29" s="216"/>
      <c r="J29" s="4"/>
      <c r="K29" s="207"/>
      <c r="L29" s="207"/>
      <c r="M29" s="207"/>
      <c r="N29" s="208"/>
      <c r="O29" s="214"/>
      <c r="P29" s="4"/>
      <c r="Q29" s="60" t="s">
        <v>29</v>
      </c>
      <c r="R29" s="54" t="s">
        <v>100</v>
      </c>
    </row>
    <row r="30" spans="1:18" s="43" customFormat="1" ht="16.5" customHeight="1">
      <c r="A30" s="198" t="s">
        <v>101</v>
      </c>
      <c r="B30" s="198" t="s">
        <v>102</v>
      </c>
      <c r="C30" s="198" t="s">
        <v>103</v>
      </c>
      <c r="D30" s="198" t="s">
        <v>104</v>
      </c>
      <c r="E30" s="198" t="s">
        <v>105</v>
      </c>
      <c r="F30" s="217">
        <v>204</v>
      </c>
      <c r="G30" s="217">
        <v>204</v>
      </c>
      <c r="H30" s="216">
        <v>45567</v>
      </c>
      <c r="I30" s="216">
        <v>46297</v>
      </c>
      <c r="J30" s="4" t="e">
        <f ca="1">_xlfn.DAYS(I30,TODAY())</f>
        <v>#NAME?</v>
      </c>
      <c r="K30" s="208" t="s">
        <v>106</v>
      </c>
      <c r="L30" s="208" t="s">
        <v>107</v>
      </c>
      <c r="M30" s="208" t="s">
        <v>108</v>
      </c>
      <c r="N30" s="208" t="s">
        <v>109</v>
      </c>
      <c r="O30" s="214" t="s">
        <v>110</v>
      </c>
      <c r="P30" s="208">
        <v>0</v>
      </c>
      <c r="Q30" s="55" t="s">
        <v>27</v>
      </c>
      <c r="R30" s="54" t="s">
        <v>111</v>
      </c>
    </row>
    <row r="31" spans="1:18" s="43" customFormat="1" ht="41.4">
      <c r="A31" s="198"/>
      <c r="B31" s="198"/>
      <c r="C31" s="198"/>
      <c r="D31" s="198"/>
      <c r="E31" s="198"/>
      <c r="F31" s="217"/>
      <c r="G31" s="217"/>
      <c r="H31" s="216"/>
      <c r="I31" s="216"/>
      <c r="J31" s="4"/>
      <c r="K31" s="208"/>
      <c r="L31" s="208"/>
      <c r="M31" s="208"/>
      <c r="N31" s="208"/>
      <c r="O31" s="214"/>
      <c r="P31" s="208"/>
      <c r="Q31" s="41" t="s">
        <v>112</v>
      </c>
      <c r="R31" s="57" t="s">
        <v>113</v>
      </c>
    </row>
    <row r="32" spans="1:18" s="73" customFormat="1" ht="27.6">
      <c r="A32" s="64" t="s">
        <v>114</v>
      </c>
      <c r="B32" s="64" t="s">
        <v>115</v>
      </c>
      <c r="C32" s="33" t="s">
        <v>116</v>
      </c>
      <c r="D32" s="64" t="s">
        <v>117</v>
      </c>
      <c r="E32" s="64" t="s">
        <v>118</v>
      </c>
      <c r="F32" s="65">
        <v>5700</v>
      </c>
      <c r="G32" s="65">
        <v>5700</v>
      </c>
      <c r="H32" s="66">
        <v>45763</v>
      </c>
      <c r="I32" s="66">
        <v>46128</v>
      </c>
      <c r="J32" s="67" t="e">
        <f t="shared" ref="J32:J54" ca="1" si="0">_xlfn.DAYS(I32,TODAY())</f>
        <v>#NAME?</v>
      </c>
      <c r="K32" s="38" t="s">
        <v>37</v>
      </c>
      <c r="L32" s="68" t="s">
        <v>119</v>
      </c>
      <c r="M32" s="69" t="s">
        <v>120</v>
      </c>
      <c r="N32" s="70" t="s">
        <v>38</v>
      </c>
      <c r="O32" s="50" t="s">
        <v>110</v>
      </c>
      <c r="P32" s="63">
        <v>0</v>
      </c>
      <c r="Q32" s="71" t="s">
        <v>27</v>
      </c>
      <c r="R32" s="72" t="s">
        <v>121</v>
      </c>
    </row>
    <row r="33" spans="1:18" s="73" customFormat="1" ht="27.6">
      <c r="A33" s="64" t="s">
        <v>122</v>
      </c>
      <c r="B33" s="64" t="s">
        <v>123</v>
      </c>
      <c r="C33" s="74" t="s">
        <v>124</v>
      </c>
      <c r="D33" s="64" t="s">
        <v>125</v>
      </c>
      <c r="E33" s="64" t="s">
        <v>126</v>
      </c>
      <c r="F33" s="65">
        <v>1320</v>
      </c>
      <c r="G33" s="65">
        <v>1320</v>
      </c>
      <c r="H33" s="66">
        <v>45772</v>
      </c>
      <c r="I33" s="66">
        <v>46137</v>
      </c>
      <c r="J33" s="67" t="e">
        <f t="shared" ca="1" si="0"/>
        <v>#NAME?</v>
      </c>
      <c r="K33" s="38" t="s">
        <v>37</v>
      </c>
      <c r="L33" s="68" t="s">
        <v>119</v>
      </c>
      <c r="M33" s="37" t="s">
        <v>127</v>
      </c>
      <c r="N33" s="70" t="s">
        <v>38</v>
      </c>
      <c r="O33" s="50" t="s">
        <v>110</v>
      </c>
      <c r="P33" s="63">
        <v>0</v>
      </c>
      <c r="Q33" s="71" t="s">
        <v>27</v>
      </c>
      <c r="R33" s="72" t="s">
        <v>128</v>
      </c>
    </row>
    <row r="34" spans="1:18" s="73" customFormat="1" ht="27.6">
      <c r="A34" s="64" t="s">
        <v>129</v>
      </c>
      <c r="B34" s="64" t="s">
        <v>130</v>
      </c>
      <c r="C34" s="74" t="s">
        <v>131</v>
      </c>
      <c r="D34" s="64" t="s">
        <v>132</v>
      </c>
      <c r="E34" s="64" t="s">
        <v>133</v>
      </c>
      <c r="F34" s="65">
        <v>1700</v>
      </c>
      <c r="G34" s="65">
        <v>1700</v>
      </c>
      <c r="H34" s="66">
        <v>45797</v>
      </c>
      <c r="I34" s="66">
        <v>46162</v>
      </c>
      <c r="J34" s="67" t="e">
        <f t="shared" ca="1" si="0"/>
        <v>#NAME?</v>
      </c>
      <c r="K34" s="68" t="s">
        <v>119</v>
      </c>
      <c r="L34" s="38" t="s">
        <v>37</v>
      </c>
      <c r="M34" s="69" t="s">
        <v>134</v>
      </c>
      <c r="N34" s="70" t="s">
        <v>38</v>
      </c>
      <c r="O34" s="50" t="s">
        <v>110</v>
      </c>
      <c r="P34" s="63">
        <v>0</v>
      </c>
      <c r="Q34" s="71" t="s">
        <v>27</v>
      </c>
      <c r="R34" s="72" t="s">
        <v>135</v>
      </c>
    </row>
    <row r="35" spans="1:18" s="73" customFormat="1" ht="27.6">
      <c r="A35" s="64" t="s">
        <v>136</v>
      </c>
      <c r="B35" s="64" t="s">
        <v>137</v>
      </c>
      <c r="C35" s="33" t="s">
        <v>138</v>
      </c>
      <c r="D35" s="64" t="s">
        <v>139</v>
      </c>
      <c r="E35" s="75" t="s">
        <v>140</v>
      </c>
      <c r="F35" s="65">
        <v>4437.5</v>
      </c>
      <c r="G35" s="65">
        <v>4437.5</v>
      </c>
      <c r="H35" s="66">
        <v>45797</v>
      </c>
      <c r="I35" s="66">
        <v>46162</v>
      </c>
      <c r="J35" s="67" t="e">
        <f t="shared" ca="1" si="0"/>
        <v>#NAME?</v>
      </c>
      <c r="K35" s="68" t="s">
        <v>119</v>
      </c>
      <c r="L35" s="38" t="s">
        <v>37</v>
      </c>
      <c r="M35" s="69" t="s">
        <v>141</v>
      </c>
      <c r="N35" s="70" t="s">
        <v>38</v>
      </c>
      <c r="O35" s="50" t="s">
        <v>110</v>
      </c>
      <c r="P35" s="63">
        <v>0</v>
      </c>
      <c r="Q35" s="71" t="s">
        <v>27</v>
      </c>
      <c r="R35" s="72" t="s">
        <v>142</v>
      </c>
    </row>
    <row r="36" spans="1:18" s="73" customFormat="1" ht="55.2">
      <c r="A36" s="76" t="s">
        <v>143</v>
      </c>
      <c r="B36" s="76" t="s">
        <v>144</v>
      </c>
      <c r="C36" s="34" t="s">
        <v>145</v>
      </c>
      <c r="D36" s="64" t="s">
        <v>146</v>
      </c>
      <c r="E36" s="75" t="s">
        <v>147</v>
      </c>
      <c r="F36" s="65">
        <v>21640</v>
      </c>
      <c r="G36" s="62">
        <v>21640</v>
      </c>
      <c r="H36" s="66">
        <v>45839</v>
      </c>
      <c r="I36" s="66">
        <v>46204</v>
      </c>
      <c r="J36" s="67" t="e">
        <f t="shared" ca="1" si="0"/>
        <v>#NAME?</v>
      </c>
      <c r="K36" s="68" t="s">
        <v>148</v>
      </c>
      <c r="L36" s="68" t="s">
        <v>149</v>
      </c>
      <c r="M36" s="69" t="s">
        <v>150</v>
      </c>
      <c r="N36" s="68" t="s">
        <v>151</v>
      </c>
      <c r="O36" s="50" t="s">
        <v>110</v>
      </c>
      <c r="P36" s="63">
        <v>0</v>
      </c>
      <c r="Q36" s="71" t="s">
        <v>27</v>
      </c>
      <c r="R36" s="72" t="s">
        <v>152</v>
      </c>
    </row>
    <row r="37" spans="1:18" s="73" customFormat="1" ht="41.4">
      <c r="A37" s="77" t="s">
        <v>153</v>
      </c>
      <c r="B37" s="45" t="s">
        <v>154</v>
      </c>
      <c r="C37" s="77" t="s">
        <v>155</v>
      </c>
      <c r="D37" s="44" t="s">
        <v>156</v>
      </c>
      <c r="E37" s="77" t="s">
        <v>157</v>
      </c>
      <c r="F37" s="78">
        <v>844561</v>
      </c>
      <c r="G37" s="27">
        <v>844561</v>
      </c>
      <c r="H37" s="79">
        <v>45859</v>
      </c>
      <c r="I37" s="80">
        <v>46224</v>
      </c>
      <c r="J37" s="81" t="e">
        <f t="shared" ca="1" si="0"/>
        <v>#NAME?</v>
      </c>
      <c r="K37" s="46" t="s">
        <v>158</v>
      </c>
      <c r="L37" s="46"/>
      <c r="M37" s="46" t="s">
        <v>159</v>
      </c>
      <c r="N37" s="46" t="s">
        <v>160</v>
      </c>
      <c r="O37" s="44" t="s">
        <v>110</v>
      </c>
      <c r="P37" s="82">
        <v>0</v>
      </c>
      <c r="Q37" s="83" t="s">
        <v>27</v>
      </c>
      <c r="R37" s="84" t="s">
        <v>161</v>
      </c>
    </row>
    <row r="38" spans="1:18" ht="41.4">
      <c r="A38" s="85" t="s">
        <v>162</v>
      </c>
      <c r="B38" s="86" t="s">
        <v>163</v>
      </c>
      <c r="C38" s="85" t="s">
        <v>164</v>
      </c>
      <c r="D38" s="76" t="s">
        <v>165</v>
      </c>
      <c r="E38" s="85" t="s">
        <v>166</v>
      </c>
      <c r="F38" s="87">
        <v>13080774.58</v>
      </c>
      <c r="G38" s="87">
        <v>13080774.58</v>
      </c>
      <c r="H38" s="88">
        <v>45866</v>
      </c>
      <c r="I38" s="88">
        <v>46231</v>
      </c>
      <c r="J38" s="81" t="e">
        <f t="shared" ca="1" si="0"/>
        <v>#NAME?</v>
      </c>
      <c r="K38" s="89" t="s">
        <v>167</v>
      </c>
      <c r="L38" s="89" t="s">
        <v>168</v>
      </c>
      <c r="M38" s="89" t="s">
        <v>169</v>
      </c>
      <c r="N38" s="89" t="s">
        <v>170</v>
      </c>
      <c r="O38" s="90" t="s">
        <v>110</v>
      </c>
      <c r="P38" s="91">
        <v>0</v>
      </c>
      <c r="Q38" s="71" t="s">
        <v>27</v>
      </c>
      <c r="R38" s="40" t="s">
        <v>171</v>
      </c>
    </row>
    <row r="39" spans="1:18" ht="41.4">
      <c r="A39" s="92" t="s">
        <v>172</v>
      </c>
      <c r="B39" s="75" t="s">
        <v>173</v>
      </c>
      <c r="C39" s="92" t="s">
        <v>174</v>
      </c>
      <c r="D39" s="64" t="s">
        <v>175</v>
      </c>
      <c r="E39" s="92" t="s">
        <v>176</v>
      </c>
      <c r="F39" s="65">
        <v>32160</v>
      </c>
      <c r="G39" s="65">
        <v>32160</v>
      </c>
      <c r="H39" s="93">
        <v>45881</v>
      </c>
      <c r="I39" s="93">
        <v>46246</v>
      </c>
      <c r="J39" s="67" t="e">
        <f t="shared" ca="1" si="0"/>
        <v>#NAME?</v>
      </c>
      <c r="K39" s="68" t="s">
        <v>177</v>
      </c>
      <c r="L39" s="68" t="s">
        <v>178</v>
      </c>
      <c r="M39" s="68" t="s">
        <v>179</v>
      </c>
      <c r="N39" s="68" t="s">
        <v>180</v>
      </c>
      <c r="O39" s="50" t="s">
        <v>110</v>
      </c>
      <c r="P39" s="63">
        <v>0</v>
      </c>
      <c r="Q39" s="71" t="s">
        <v>27</v>
      </c>
      <c r="R39" s="72" t="s">
        <v>181</v>
      </c>
    </row>
    <row r="40" spans="1:18" s="73" customFormat="1" ht="41.4">
      <c r="A40" s="64" t="s">
        <v>182</v>
      </c>
      <c r="B40" s="64" t="s">
        <v>183</v>
      </c>
      <c r="C40" s="75" t="s">
        <v>184</v>
      </c>
      <c r="D40" s="64" t="s">
        <v>185</v>
      </c>
      <c r="E40" s="75" t="s">
        <v>186</v>
      </c>
      <c r="F40" s="65">
        <v>1600000</v>
      </c>
      <c r="G40" s="65">
        <v>1600000</v>
      </c>
      <c r="H40" s="66">
        <v>45947</v>
      </c>
      <c r="I40" s="66">
        <v>46312</v>
      </c>
      <c r="J40" s="67" t="e">
        <f t="shared" ca="1" si="0"/>
        <v>#NAME?</v>
      </c>
      <c r="K40" s="68" t="s">
        <v>149</v>
      </c>
      <c r="L40" s="68" t="s">
        <v>187</v>
      </c>
      <c r="M40" s="68" t="s">
        <v>188</v>
      </c>
      <c r="N40" s="68" t="s">
        <v>189</v>
      </c>
      <c r="O40" s="50" t="s">
        <v>110</v>
      </c>
      <c r="P40" s="63">
        <v>0</v>
      </c>
      <c r="Q40" s="71" t="s">
        <v>27</v>
      </c>
      <c r="R40" s="72" t="s">
        <v>190</v>
      </c>
    </row>
    <row r="41" spans="1:18" s="73" customFormat="1" ht="27.6">
      <c r="A41" s="94" t="s">
        <v>191</v>
      </c>
      <c r="B41" s="64" t="s">
        <v>192</v>
      </c>
      <c r="C41" s="92" t="s">
        <v>193</v>
      </c>
      <c r="D41" s="64" t="s">
        <v>194</v>
      </c>
      <c r="E41" s="75" t="s">
        <v>195</v>
      </c>
      <c r="F41" s="65">
        <v>474740</v>
      </c>
      <c r="G41" s="65">
        <v>474740</v>
      </c>
      <c r="H41" s="66">
        <v>45951</v>
      </c>
      <c r="I41" s="66">
        <v>46316</v>
      </c>
      <c r="J41" s="67" t="e">
        <f t="shared" ca="1" si="0"/>
        <v>#NAME?</v>
      </c>
      <c r="K41" s="68" t="s">
        <v>149</v>
      </c>
      <c r="L41" s="68" t="s">
        <v>196</v>
      </c>
      <c r="M41" s="95" t="s">
        <v>197</v>
      </c>
      <c r="N41" s="68" t="s">
        <v>198</v>
      </c>
      <c r="O41" s="50" t="s">
        <v>110</v>
      </c>
      <c r="P41" s="63">
        <v>0</v>
      </c>
      <c r="Q41" s="71" t="s">
        <v>27</v>
      </c>
      <c r="R41" s="72" t="s">
        <v>199</v>
      </c>
    </row>
    <row r="42" spans="1:18" s="73" customFormat="1" ht="55.2">
      <c r="A42" s="94" t="s">
        <v>200</v>
      </c>
      <c r="B42" s="64" t="s">
        <v>201</v>
      </c>
      <c r="C42" s="38" t="s">
        <v>202</v>
      </c>
      <c r="D42" s="64" t="s">
        <v>203</v>
      </c>
      <c r="E42" s="75" t="s">
        <v>204</v>
      </c>
      <c r="F42" s="65">
        <v>294094.02</v>
      </c>
      <c r="G42" s="65">
        <v>294094.02</v>
      </c>
      <c r="H42" s="66">
        <v>45953</v>
      </c>
      <c r="I42" s="66">
        <v>46133</v>
      </c>
      <c r="J42" s="67" t="e">
        <f t="shared" ca="1" si="0"/>
        <v>#NAME?</v>
      </c>
      <c r="K42" s="68" t="s">
        <v>149</v>
      </c>
      <c r="L42" s="68" t="s">
        <v>148</v>
      </c>
      <c r="M42" s="37" t="s">
        <v>205</v>
      </c>
      <c r="N42" s="96" t="s">
        <v>206</v>
      </c>
      <c r="O42" s="50" t="s">
        <v>110</v>
      </c>
      <c r="P42" s="63">
        <v>0</v>
      </c>
      <c r="Q42" s="71" t="s">
        <v>27</v>
      </c>
      <c r="R42" s="72" t="s">
        <v>207</v>
      </c>
    </row>
    <row r="43" spans="1:18" s="73" customFormat="1" ht="55.2">
      <c r="A43" s="64" t="s">
        <v>208</v>
      </c>
      <c r="B43" s="64" t="s">
        <v>209</v>
      </c>
      <c r="C43" s="75" t="s">
        <v>210</v>
      </c>
      <c r="D43" s="64" t="s">
        <v>211</v>
      </c>
      <c r="E43" s="75" t="s">
        <v>212</v>
      </c>
      <c r="F43" s="65">
        <v>119500</v>
      </c>
      <c r="G43" s="65">
        <v>119500</v>
      </c>
      <c r="H43" s="66">
        <v>45951</v>
      </c>
      <c r="I43" s="66">
        <v>46316</v>
      </c>
      <c r="J43" s="67" t="e">
        <f t="shared" ca="1" si="0"/>
        <v>#NAME?</v>
      </c>
      <c r="K43" s="68" t="s">
        <v>149</v>
      </c>
      <c r="L43" s="68" t="s">
        <v>196</v>
      </c>
      <c r="M43" s="95" t="s">
        <v>213</v>
      </c>
      <c r="N43" s="68" t="s">
        <v>198</v>
      </c>
      <c r="O43" s="50" t="s">
        <v>110</v>
      </c>
      <c r="P43" s="63">
        <v>0</v>
      </c>
      <c r="Q43" s="71" t="s">
        <v>27</v>
      </c>
      <c r="R43" s="72" t="s">
        <v>214</v>
      </c>
    </row>
    <row r="44" spans="1:18" s="73" customFormat="1" ht="27.6">
      <c r="A44" s="64" t="s">
        <v>215</v>
      </c>
      <c r="B44" s="64" t="s">
        <v>216</v>
      </c>
      <c r="C44" s="75" t="s">
        <v>217</v>
      </c>
      <c r="D44" s="64" t="s">
        <v>218</v>
      </c>
      <c r="E44" s="75" t="s">
        <v>219</v>
      </c>
      <c r="F44" s="65">
        <v>369339.48</v>
      </c>
      <c r="G44" s="65">
        <v>369339.48</v>
      </c>
      <c r="H44" s="66">
        <v>45958</v>
      </c>
      <c r="I44" s="66">
        <v>46323</v>
      </c>
      <c r="J44" s="67" t="e">
        <f t="shared" ca="1" si="0"/>
        <v>#NAME?</v>
      </c>
      <c r="K44" s="68" t="s">
        <v>220</v>
      </c>
      <c r="L44" s="68" t="s">
        <v>221</v>
      </c>
      <c r="M44" s="37" t="s">
        <v>222</v>
      </c>
      <c r="N44" s="68" t="s">
        <v>223</v>
      </c>
      <c r="O44" s="50" t="s">
        <v>110</v>
      </c>
      <c r="P44" s="63">
        <v>0</v>
      </c>
      <c r="Q44" s="71" t="s">
        <v>27</v>
      </c>
      <c r="R44" s="72" t="s">
        <v>224</v>
      </c>
    </row>
    <row r="45" spans="1:18" s="73" customFormat="1" ht="41.4">
      <c r="A45" s="76" t="s">
        <v>225</v>
      </c>
      <c r="B45" s="76" t="s">
        <v>226</v>
      </c>
      <c r="C45" s="86" t="s">
        <v>227</v>
      </c>
      <c r="D45" s="76" t="s">
        <v>228</v>
      </c>
      <c r="E45" s="86" t="s">
        <v>229</v>
      </c>
      <c r="F45" s="87">
        <v>98140.56</v>
      </c>
      <c r="G45" s="87">
        <v>98140.56</v>
      </c>
      <c r="H45" s="88">
        <v>45967</v>
      </c>
      <c r="I45" s="88">
        <v>46332</v>
      </c>
      <c r="J45" s="81" t="e">
        <f t="shared" ca="1" si="0"/>
        <v>#NAME?</v>
      </c>
      <c r="K45" s="97" t="s">
        <v>94</v>
      </c>
      <c r="L45" s="89" t="s">
        <v>230</v>
      </c>
      <c r="M45" s="69" t="s">
        <v>231</v>
      </c>
      <c r="N45" s="89" t="s">
        <v>232</v>
      </c>
      <c r="O45" s="90" t="s">
        <v>110</v>
      </c>
      <c r="P45" s="91">
        <v>0</v>
      </c>
      <c r="Q45" s="71" t="s">
        <v>27</v>
      </c>
      <c r="R45" s="72" t="s">
        <v>233</v>
      </c>
    </row>
    <row r="46" spans="1:18" s="73" customFormat="1" ht="69">
      <c r="A46" s="92" t="s">
        <v>234</v>
      </c>
      <c r="B46" s="98" t="s">
        <v>235</v>
      </c>
      <c r="C46" s="92" t="s">
        <v>236</v>
      </c>
      <c r="D46" s="99" t="s">
        <v>237</v>
      </c>
      <c r="E46" s="100" t="s">
        <v>238</v>
      </c>
      <c r="F46" s="101">
        <v>300641.03999999998</v>
      </c>
      <c r="G46" s="101">
        <v>300641.03999999998</v>
      </c>
      <c r="H46" s="66">
        <v>45987</v>
      </c>
      <c r="I46" s="66">
        <v>46351</v>
      </c>
      <c r="J46" s="81" t="e">
        <f t="shared" ca="1" si="0"/>
        <v>#NAME?</v>
      </c>
      <c r="K46" s="68" t="s">
        <v>149</v>
      </c>
      <c r="L46" s="68" t="s">
        <v>196</v>
      </c>
      <c r="M46" s="69" t="s">
        <v>239</v>
      </c>
      <c r="N46" s="68" t="s">
        <v>198</v>
      </c>
      <c r="O46" s="50" t="s">
        <v>110</v>
      </c>
      <c r="P46" s="63">
        <v>0</v>
      </c>
      <c r="Q46" s="71" t="s">
        <v>27</v>
      </c>
      <c r="R46" s="72" t="s">
        <v>240</v>
      </c>
    </row>
    <row r="47" spans="1:18" s="73" customFormat="1" ht="69">
      <c r="A47" s="92" t="s">
        <v>241</v>
      </c>
      <c r="B47" s="98" t="s">
        <v>242</v>
      </c>
      <c r="C47" s="92" t="s">
        <v>243</v>
      </c>
      <c r="D47" s="99" t="s">
        <v>244</v>
      </c>
      <c r="E47" s="100" t="s">
        <v>245</v>
      </c>
      <c r="F47" s="101">
        <v>20560</v>
      </c>
      <c r="G47" s="101">
        <v>20560</v>
      </c>
      <c r="H47" s="102">
        <v>45986</v>
      </c>
      <c r="I47" s="66">
        <v>46351</v>
      </c>
      <c r="J47" s="81" t="e">
        <f t="shared" ca="1" si="0"/>
        <v>#NAME?</v>
      </c>
      <c r="K47" s="68" t="s">
        <v>149</v>
      </c>
      <c r="L47" s="68" t="s">
        <v>196</v>
      </c>
      <c r="M47" s="69" t="s">
        <v>246</v>
      </c>
      <c r="N47" s="68" t="s">
        <v>198</v>
      </c>
      <c r="O47" s="50" t="s">
        <v>110</v>
      </c>
      <c r="P47" s="63">
        <v>0</v>
      </c>
      <c r="Q47" s="71" t="s">
        <v>27</v>
      </c>
      <c r="R47" s="72" t="s">
        <v>247</v>
      </c>
    </row>
    <row r="48" spans="1:18" s="73" customFormat="1" ht="27.6">
      <c r="A48" s="92" t="s">
        <v>248</v>
      </c>
      <c r="B48" s="64" t="s">
        <v>249</v>
      </c>
      <c r="C48" s="33" t="s">
        <v>217</v>
      </c>
      <c r="D48" s="64" t="s">
        <v>218</v>
      </c>
      <c r="E48" s="75" t="s">
        <v>250</v>
      </c>
      <c r="F48" s="101">
        <v>738678.96</v>
      </c>
      <c r="G48" s="101">
        <v>738678.96</v>
      </c>
      <c r="H48" s="102">
        <v>45986</v>
      </c>
      <c r="I48" s="66">
        <v>46351</v>
      </c>
      <c r="J48" s="67" t="e">
        <f t="shared" ca="1" si="0"/>
        <v>#NAME?</v>
      </c>
      <c r="K48" s="37"/>
      <c r="L48" s="68"/>
      <c r="M48" s="37"/>
      <c r="N48" s="68" t="s">
        <v>223</v>
      </c>
      <c r="O48" s="50" t="s">
        <v>110</v>
      </c>
      <c r="P48" s="63">
        <v>0</v>
      </c>
      <c r="Q48" s="71" t="s">
        <v>27</v>
      </c>
      <c r="R48" s="72" t="s">
        <v>251</v>
      </c>
    </row>
    <row r="49" spans="1:18" s="73" customFormat="1" ht="41.4">
      <c r="A49" s="85" t="s">
        <v>252</v>
      </c>
      <c r="B49" s="76" t="s">
        <v>253</v>
      </c>
      <c r="C49" s="34" t="s">
        <v>254</v>
      </c>
      <c r="D49" s="34" t="s">
        <v>255</v>
      </c>
      <c r="E49" s="86" t="s">
        <v>256</v>
      </c>
      <c r="F49" s="103">
        <v>139152</v>
      </c>
      <c r="G49" s="103">
        <v>139152</v>
      </c>
      <c r="H49" s="88">
        <v>45987</v>
      </c>
      <c r="I49" s="88">
        <v>46351</v>
      </c>
      <c r="J49" s="81" t="e">
        <f t="shared" ca="1" si="0"/>
        <v>#NAME?</v>
      </c>
      <c r="K49" s="69"/>
      <c r="L49" s="89"/>
      <c r="M49" s="69"/>
      <c r="N49" s="89" t="s">
        <v>257</v>
      </c>
      <c r="O49" s="90" t="s">
        <v>110</v>
      </c>
      <c r="P49" s="91">
        <v>0</v>
      </c>
      <c r="Q49" s="71" t="s">
        <v>27</v>
      </c>
      <c r="R49" s="72" t="s">
        <v>258</v>
      </c>
    </row>
    <row r="50" spans="1:18" s="73" customFormat="1" ht="55.2">
      <c r="A50" s="92" t="s">
        <v>259</v>
      </c>
      <c r="B50" s="64" t="s">
        <v>260</v>
      </c>
      <c r="C50" s="33" t="s">
        <v>261</v>
      </c>
      <c r="D50" s="33" t="s">
        <v>21</v>
      </c>
      <c r="E50" s="75" t="s">
        <v>262</v>
      </c>
      <c r="F50" s="101">
        <v>8474440.0999999996</v>
      </c>
      <c r="G50" s="101">
        <v>8474440.0999999996</v>
      </c>
      <c r="H50" s="66">
        <v>45995</v>
      </c>
      <c r="I50" s="66">
        <v>46360</v>
      </c>
      <c r="J50" s="67" t="e">
        <f t="shared" ca="1" si="0"/>
        <v>#NAME?</v>
      </c>
      <c r="K50" s="68" t="s">
        <v>167</v>
      </c>
      <c r="L50" s="68" t="s">
        <v>168</v>
      </c>
      <c r="M50" s="68" t="s">
        <v>263</v>
      </c>
      <c r="N50" s="68" t="s">
        <v>264</v>
      </c>
      <c r="O50" s="50" t="s">
        <v>110</v>
      </c>
      <c r="P50" s="63">
        <v>0</v>
      </c>
      <c r="Q50" s="71" t="s">
        <v>27</v>
      </c>
      <c r="R50" s="72" t="s">
        <v>265</v>
      </c>
    </row>
    <row r="51" spans="1:18" ht="41.4">
      <c r="A51" s="92" t="s">
        <v>266</v>
      </c>
      <c r="B51" s="92" t="s">
        <v>267</v>
      </c>
      <c r="C51" s="38" t="s">
        <v>268</v>
      </c>
      <c r="D51" s="64" t="s">
        <v>269</v>
      </c>
      <c r="E51" s="92" t="s">
        <v>270</v>
      </c>
      <c r="F51" s="101">
        <v>64559.71</v>
      </c>
      <c r="G51" s="101">
        <v>64559.71</v>
      </c>
      <c r="H51" s="93">
        <v>46063</v>
      </c>
      <c r="I51" s="66">
        <v>46428</v>
      </c>
      <c r="J51" s="67" t="e">
        <f t="shared" ca="1" si="0"/>
        <v>#NAME?</v>
      </c>
      <c r="K51" s="68" t="s">
        <v>177</v>
      </c>
      <c r="L51" s="68" t="s">
        <v>178</v>
      </c>
      <c r="M51" s="104"/>
      <c r="N51" s="105" t="s">
        <v>271</v>
      </c>
      <c r="O51" s="50" t="s">
        <v>110</v>
      </c>
      <c r="P51" s="63">
        <v>0</v>
      </c>
      <c r="Q51" s="106" t="s">
        <v>272</v>
      </c>
      <c r="R51" s="40" t="s">
        <v>273</v>
      </c>
    </row>
    <row r="52" spans="1:18" ht="27.6">
      <c r="A52" s="64" t="s">
        <v>274</v>
      </c>
      <c r="B52" s="64" t="s">
        <v>275</v>
      </c>
      <c r="C52" s="74" t="s">
        <v>276</v>
      </c>
      <c r="D52" s="64" t="s">
        <v>277</v>
      </c>
      <c r="E52" s="92" t="s">
        <v>278</v>
      </c>
      <c r="F52" s="65">
        <v>4693260</v>
      </c>
      <c r="G52" s="65">
        <v>4693260</v>
      </c>
      <c r="H52" s="66">
        <v>46080</v>
      </c>
      <c r="I52" s="107">
        <v>46445</v>
      </c>
      <c r="J52" s="67" t="e">
        <f t="shared" ca="1" si="0"/>
        <v>#NAME?</v>
      </c>
      <c r="K52" s="68" t="s">
        <v>279</v>
      </c>
      <c r="L52" s="68" t="s">
        <v>280</v>
      </c>
      <c r="M52" s="68" t="s">
        <v>281</v>
      </c>
      <c r="N52" s="68" t="s">
        <v>282</v>
      </c>
      <c r="O52" s="50" t="s">
        <v>110</v>
      </c>
      <c r="P52" s="63">
        <v>0</v>
      </c>
      <c r="Q52" s="71" t="s">
        <v>27</v>
      </c>
      <c r="R52" s="40" t="s">
        <v>283</v>
      </c>
    </row>
    <row r="53" spans="1:18" ht="27.6">
      <c r="A53" s="64" t="s">
        <v>284</v>
      </c>
      <c r="B53" s="64" t="s">
        <v>285</v>
      </c>
      <c r="C53" s="34" t="s">
        <v>286</v>
      </c>
      <c r="D53" s="108" t="s">
        <v>287</v>
      </c>
      <c r="E53" s="76" t="s">
        <v>288</v>
      </c>
      <c r="F53" s="65">
        <v>32730</v>
      </c>
      <c r="G53" s="65">
        <v>32730</v>
      </c>
      <c r="H53" s="66">
        <v>46104</v>
      </c>
      <c r="I53" s="107">
        <v>46561</v>
      </c>
      <c r="J53" s="67" t="e">
        <f t="shared" ca="1" si="0"/>
        <v>#NAME?</v>
      </c>
      <c r="K53" s="68" t="s">
        <v>289</v>
      </c>
      <c r="L53" s="68" t="s">
        <v>290</v>
      </c>
      <c r="M53" s="68" t="s">
        <v>291</v>
      </c>
      <c r="N53" s="105" t="s">
        <v>271</v>
      </c>
      <c r="O53" s="50" t="s">
        <v>110</v>
      </c>
      <c r="P53" s="63">
        <v>0</v>
      </c>
      <c r="Q53" s="71" t="s">
        <v>27</v>
      </c>
      <c r="R53" s="40" t="s">
        <v>292</v>
      </c>
    </row>
    <row r="54" spans="1:18" ht="41.4">
      <c r="A54" s="64" t="s">
        <v>293</v>
      </c>
      <c r="B54" s="109" t="s">
        <v>294</v>
      </c>
      <c r="C54" s="92" t="s">
        <v>295</v>
      </c>
      <c r="D54" s="94" t="s">
        <v>255</v>
      </c>
      <c r="E54" s="92" t="s">
        <v>296</v>
      </c>
      <c r="F54" s="110">
        <v>160800</v>
      </c>
      <c r="G54" s="65">
        <v>160800</v>
      </c>
      <c r="H54" s="66">
        <v>46126</v>
      </c>
      <c r="I54" s="107">
        <v>46491</v>
      </c>
      <c r="J54" s="67" t="e">
        <f t="shared" ca="1" si="0"/>
        <v>#NAME?</v>
      </c>
      <c r="K54" s="68" t="s">
        <v>297</v>
      </c>
      <c r="L54" s="68" t="s">
        <v>298</v>
      </c>
      <c r="M54" s="68" t="s">
        <v>299</v>
      </c>
      <c r="N54" s="68" t="s">
        <v>257</v>
      </c>
      <c r="O54" s="50" t="s">
        <v>110</v>
      </c>
      <c r="P54" s="63">
        <v>0</v>
      </c>
      <c r="Q54" s="71" t="s">
        <v>27</v>
      </c>
      <c r="R54" s="40"/>
    </row>
    <row r="56" spans="1:18">
      <c r="A56" s="111" t="s">
        <v>300</v>
      </c>
      <c r="B56" s="112" t="s">
        <v>301</v>
      </c>
      <c r="F56" s="113"/>
      <c r="G56" s="113"/>
      <c r="H56" s="114"/>
    </row>
    <row r="57" spans="1:18">
      <c r="F57" s="115"/>
      <c r="G57" s="115"/>
      <c r="H57" s="114"/>
    </row>
    <row r="58" spans="1:18">
      <c r="F58" s="115"/>
      <c r="G58" s="115"/>
      <c r="H58" s="114"/>
    </row>
  </sheetData>
  <autoFilter ref="A1:T47">
    <filterColumn colId="0" hiddenButton="1"/>
    <filterColumn colId="1" hiddenButton="1"/>
    <filterColumn colId="2" hiddenButton="1"/>
  </autoFilter>
  <mergeCells count="143">
    <mergeCell ref="J30:J31"/>
    <mergeCell ref="K30:K31"/>
    <mergeCell ref="L30:L31"/>
    <mergeCell ref="M30:M31"/>
    <mergeCell ref="N30:N31"/>
    <mergeCell ref="O30:O31"/>
    <mergeCell ref="P30:P31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24:J26"/>
    <mergeCell ref="K24:K26"/>
    <mergeCell ref="L24:L26"/>
    <mergeCell ref="M24:M26"/>
    <mergeCell ref="N24:N26"/>
    <mergeCell ref="O24:O26"/>
    <mergeCell ref="P24:P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17:J20"/>
    <mergeCell ref="K17:K20"/>
    <mergeCell ref="L17:L20"/>
    <mergeCell ref="M17:M20"/>
    <mergeCell ref="N17:N20"/>
    <mergeCell ref="O17:O20"/>
    <mergeCell ref="P17:P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J8:J11"/>
    <mergeCell ref="K8:K11"/>
    <mergeCell ref="L8:L11"/>
    <mergeCell ref="M8:M11"/>
    <mergeCell ref="N8:N11"/>
    <mergeCell ref="O8:O11"/>
    <mergeCell ref="P8:P11"/>
    <mergeCell ref="A12:A16"/>
    <mergeCell ref="B12:B16"/>
    <mergeCell ref="C12:C16"/>
    <mergeCell ref="D12:D16"/>
    <mergeCell ref="E12:E16"/>
    <mergeCell ref="F12:F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M1:M2"/>
    <mergeCell ref="N1:N2"/>
    <mergeCell ref="O1:O2"/>
    <mergeCell ref="P1:P2"/>
    <mergeCell ref="Q1:Q2"/>
    <mergeCell ref="R1:R2"/>
    <mergeCell ref="A3:A7"/>
    <mergeCell ref="B3:B7"/>
    <mergeCell ref="C3:C7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A1:A2"/>
    <mergeCell ref="B1:B2"/>
    <mergeCell ref="C1:C2"/>
    <mergeCell ref="D1:D2"/>
    <mergeCell ref="E1:E2"/>
    <mergeCell ref="F1:G1"/>
    <mergeCell ref="H1:J1"/>
    <mergeCell ref="K1:K2"/>
    <mergeCell ref="L1:L2"/>
  </mergeCells>
  <conditionalFormatting sqref="J8 J3 J12 J17 J21 J24 J27 J30 J32:J54">
    <cfRule type="cellIs" dxfId="83" priority="2" operator="lessThan">
      <formula>30</formula>
    </cfRule>
    <cfRule type="cellIs" dxfId="82" priority="3" operator="between">
      <formula>30</formula>
      <formula>90</formula>
    </cfRule>
    <cfRule type="cellIs" dxfId="81" priority="4" operator="greaterThan">
      <formula>90</formula>
    </cfRule>
  </conditionalFormatting>
  <hyperlinks>
    <hyperlink ref="R8" r:id="rId1"/>
    <hyperlink ref="R9" r:id="rId2"/>
    <hyperlink ref="R11" r:id="rId3"/>
    <hyperlink ref="R17" r:id="rId4"/>
    <hyperlink ref="R18" r:id="rId5"/>
    <hyperlink ref="R19" r:id="rId6"/>
    <hyperlink ref="R20" r:id="rId7"/>
    <hyperlink ref="R21" r:id="rId8"/>
    <hyperlink ref="R22" r:id="rId9"/>
    <hyperlink ref="R23" r:id="rId10"/>
    <hyperlink ref="R24" r:id="rId11"/>
    <hyperlink ref="R25" r:id="rId12"/>
    <hyperlink ref="R26" r:id="rId13"/>
    <hyperlink ref="R27" r:id="rId14"/>
    <hyperlink ref="R28" r:id="rId15"/>
    <hyperlink ref="R29" r:id="rId16"/>
    <hyperlink ref="R30" r:id="rId17"/>
    <hyperlink ref="R31" r:id="rId18"/>
    <hyperlink ref="R32" r:id="rId19"/>
    <hyperlink ref="R33" r:id="rId20"/>
    <hyperlink ref="R34" r:id="rId21"/>
    <hyperlink ref="R35" r:id="rId22"/>
    <hyperlink ref="R36" r:id="rId23"/>
    <hyperlink ref="R37" r:id="rId24"/>
    <hyperlink ref="R38" r:id="rId25"/>
    <hyperlink ref="R39" r:id="rId26"/>
    <hyperlink ref="R40" r:id="rId27"/>
    <hyperlink ref="R41" r:id="rId28"/>
    <hyperlink ref="R42" r:id="rId29"/>
    <hyperlink ref="R43" r:id="rId30"/>
    <hyperlink ref="R44" r:id="rId31"/>
    <hyperlink ref="R45" r:id="rId32"/>
    <hyperlink ref="R46" r:id="rId33"/>
    <hyperlink ref="R47" r:id="rId34"/>
    <hyperlink ref="R48" r:id="rId35"/>
    <hyperlink ref="R49" r:id="rId36"/>
    <hyperlink ref="R50" r:id="rId37"/>
    <hyperlink ref="R51" r:id="rId38"/>
    <hyperlink ref="R52" r:id="rId39"/>
    <hyperlink ref="R53" r:id="rId40"/>
  </hyperlinks>
  <printOptions horizontalCentered="1"/>
  <pageMargins left="0.25" right="0.25" top="0.75" bottom="0.75" header="0.511811023622047" footer="0.511811023622047"/>
  <pageSetup paperSize="9" scale="45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H21" sqref="H21"/>
    </sheetView>
  </sheetViews>
  <sheetFormatPr defaultColWidth="8.6640625" defaultRowHeight="13.2"/>
  <cols>
    <col min="1" max="1" width="11.88671875" customWidth="1"/>
    <col min="2" max="2" width="17.33203125" customWidth="1"/>
    <col min="3" max="3" width="24.44140625" customWidth="1"/>
    <col min="4" max="4" width="17" customWidth="1"/>
    <col min="5" max="5" width="28.88671875" customWidth="1"/>
    <col min="6" max="6" width="12.44140625" customWidth="1"/>
    <col min="7" max="7" width="14.6640625" customWidth="1"/>
    <col min="8" max="8" width="21.44140625" customWidth="1"/>
    <col min="9" max="9" width="19.33203125" customWidth="1"/>
    <col min="10" max="10" width="19" customWidth="1"/>
    <col min="11" max="11" width="19.44140625" customWidth="1"/>
    <col min="12" max="12" width="15.6640625" customWidth="1"/>
  </cols>
  <sheetData>
    <row r="1" spans="1:12" ht="16.5" customHeight="1">
      <c r="A1" s="14" t="s">
        <v>0</v>
      </c>
      <c r="B1" s="14" t="s">
        <v>302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303</v>
      </c>
      <c r="H1" s="12" t="s">
        <v>7</v>
      </c>
      <c r="I1" s="12" t="s">
        <v>8</v>
      </c>
      <c r="J1" s="12" t="s">
        <v>9</v>
      </c>
      <c r="K1" s="12" t="s">
        <v>10</v>
      </c>
      <c r="L1" s="11" t="s">
        <v>11</v>
      </c>
    </row>
    <row r="2" spans="1:12" ht="12.75" customHeight="1">
      <c r="A2" s="14"/>
      <c r="B2" s="14"/>
      <c r="C2" s="14"/>
      <c r="D2" s="14"/>
      <c r="E2" s="14"/>
      <c r="F2" s="13"/>
      <c r="G2" s="13"/>
      <c r="H2" s="12"/>
      <c r="I2" s="12"/>
      <c r="J2" s="12"/>
      <c r="K2" s="12"/>
      <c r="L2" s="11"/>
    </row>
    <row r="3" spans="1:12" s="17" customFormat="1" ht="27.6">
      <c r="A3" s="92" t="s">
        <v>304</v>
      </c>
      <c r="B3" s="92" t="s">
        <v>305</v>
      </c>
      <c r="C3" s="92" t="s">
        <v>306</v>
      </c>
      <c r="D3" s="64" t="s">
        <v>307</v>
      </c>
      <c r="E3" s="92" t="s">
        <v>308</v>
      </c>
      <c r="F3" s="101">
        <v>228</v>
      </c>
      <c r="G3" s="93">
        <v>45853</v>
      </c>
      <c r="H3" s="38" t="s">
        <v>37</v>
      </c>
      <c r="I3" s="52" t="s">
        <v>309</v>
      </c>
      <c r="J3" s="68" t="s">
        <v>310</v>
      </c>
      <c r="K3" s="37" t="s">
        <v>38</v>
      </c>
      <c r="L3" s="68" t="s">
        <v>311</v>
      </c>
    </row>
    <row r="4" spans="1:12" s="17" customFormat="1" ht="27.6">
      <c r="A4" s="92" t="s">
        <v>312</v>
      </c>
      <c r="B4" s="92" t="s">
        <v>313</v>
      </c>
      <c r="C4" s="92" t="s">
        <v>314</v>
      </c>
      <c r="D4" s="64" t="s">
        <v>315</v>
      </c>
      <c r="E4" s="92" t="s">
        <v>316</v>
      </c>
      <c r="F4" s="101">
        <v>90.3</v>
      </c>
      <c r="G4" s="93">
        <v>45853</v>
      </c>
      <c r="H4" s="38" t="s">
        <v>37</v>
      </c>
      <c r="I4" s="52" t="s">
        <v>309</v>
      </c>
      <c r="J4" s="68" t="s">
        <v>317</v>
      </c>
      <c r="K4" s="37" t="s">
        <v>38</v>
      </c>
      <c r="L4" s="68" t="s">
        <v>311</v>
      </c>
    </row>
    <row r="5" spans="1:12" s="73" customFormat="1" ht="27.6">
      <c r="A5" s="92" t="s">
        <v>318</v>
      </c>
      <c r="B5" s="92" t="s">
        <v>319</v>
      </c>
      <c r="C5" s="92" t="s">
        <v>320</v>
      </c>
      <c r="D5" s="64" t="s">
        <v>321</v>
      </c>
      <c r="E5" s="92" t="s">
        <v>322</v>
      </c>
      <c r="F5" s="101">
        <v>795.5</v>
      </c>
      <c r="G5" s="93">
        <v>45855</v>
      </c>
      <c r="H5" s="38" t="s">
        <v>37</v>
      </c>
      <c r="I5" s="52" t="s">
        <v>309</v>
      </c>
      <c r="J5" s="68" t="s">
        <v>323</v>
      </c>
      <c r="K5" s="37" t="s">
        <v>38</v>
      </c>
      <c r="L5" s="68" t="s">
        <v>311</v>
      </c>
    </row>
  </sheetData>
  <mergeCells count="12">
    <mergeCell ref="K1:K2"/>
    <mergeCell ref="L1:L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D9" sqref="D9"/>
    </sheetView>
  </sheetViews>
  <sheetFormatPr defaultColWidth="8.6640625" defaultRowHeight="13.2"/>
  <cols>
    <col min="1" max="1" width="15" customWidth="1"/>
    <col min="2" max="2" width="10.88671875" customWidth="1"/>
    <col min="3" max="3" width="24" customWidth="1"/>
    <col min="4" max="4" width="26.44140625" customWidth="1"/>
    <col min="5" max="5" width="12.88671875" customWidth="1"/>
    <col min="6" max="7" width="9.88671875" customWidth="1"/>
    <col min="8" max="8" width="12.6640625" customWidth="1"/>
    <col min="9" max="9" width="13.88671875" customWidth="1"/>
  </cols>
  <sheetData>
    <row r="1" spans="1:9" ht="16.5" customHeight="1">
      <c r="A1" s="14" t="s">
        <v>324</v>
      </c>
      <c r="B1" s="14" t="s">
        <v>325</v>
      </c>
      <c r="C1" s="14" t="s">
        <v>326</v>
      </c>
      <c r="D1" s="14" t="s">
        <v>4</v>
      </c>
      <c r="E1" s="13" t="s">
        <v>5</v>
      </c>
      <c r="F1" s="218" t="s">
        <v>6</v>
      </c>
      <c r="G1" s="218"/>
      <c r="H1" s="218"/>
      <c r="I1" s="11" t="s">
        <v>327</v>
      </c>
    </row>
    <row r="2" spans="1:9" ht="27.6">
      <c r="A2" s="14"/>
      <c r="B2" s="14"/>
      <c r="C2" s="14"/>
      <c r="D2" s="14"/>
      <c r="E2" s="13"/>
      <c r="F2" s="21" t="s">
        <v>15</v>
      </c>
      <c r="G2" s="21" t="s">
        <v>16</v>
      </c>
      <c r="H2" s="116" t="s">
        <v>17</v>
      </c>
      <c r="I2" s="11"/>
    </row>
    <row r="3" spans="1:9" ht="69">
      <c r="A3" s="33" t="s">
        <v>328</v>
      </c>
      <c r="B3" s="33" t="s">
        <v>329</v>
      </c>
      <c r="C3" s="33" t="s">
        <v>330</v>
      </c>
      <c r="D3" s="33" t="s">
        <v>331</v>
      </c>
      <c r="E3" s="51">
        <v>306000</v>
      </c>
      <c r="F3" s="52">
        <v>45359</v>
      </c>
      <c r="G3" s="52">
        <v>45543</v>
      </c>
      <c r="H3" s="117" t="e">
        <f ca="1">_xlfn.DAYS(G3,TODAY())</f>
        <v>#NAME?</v>
      </c>
      <c r="I3" s="118"/>
    </row>
  </sheetData>
  <mergeCells count="7">
    <mergeCell ref="F1:H1"/>
    <mergeCell ref="I1:I2"/>
    <mergeCell ref="A1:A2"/>
    <mergeCell ref="B1:B2"/>
    <mergeCell ref="C1:C2"/>
    <mergeCell ref="D1:D2"/>
    <mergeCell ref="E1:E2"/>
  </mergeCells>
  <conditionalFormatting sqref="H3">
    <cfRule type="cellIs" dxfId="80" priority="2" operator="lessThan">
      <formula>30</formula>
    </cfRule>
    <cfRule type="cellIs" dxfId="79" priority="3" operator="between">
      <formula>30</formula>
      <formula>90</formula>
    </cfRule>
    <cfRule type="cellIs" dxfId="78" priority="4" operator="greaterThan">
      <formula>90</formula>
    </cfRule>
  </conditionalFormatting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D8" sqref="D8"/>
    </sheetView>
  </sheetViews>
  <sheetFormatPr defaultColWidth="9.109375" defaultRowHeight="13.8"/>
  <cols>
    <col min="1" max="1" width="13.88671875" style="73" customWidth="1"/>
    <col min="2" max="2" width="40.6640625" style="73" customWidth="1"/>
    <col min="3" max="3" width="17.5546875" style="73" customWidth="1"/>
    <col min="4" max="4" width="39.5546875" style="119" customWidth="1"/>
    <col min="5" max="5" width="12" style="73" customWidth="1"/>
    <col min="6" max="6" width="17.6640625" style="73" customWidth="1"/>
    <col min="7" max="8" width="11.33203125" style="73" customWidth="1"/>
    <col min="9" max="9" width="12.44140625" style="73" customWidth="1"/>
    <col min="10" max="10" width="12" style="73" customWidth="1"/>
    <col min="11" max="16384" width="9.109375" style="73"/>
  </cols>
  <sheetData>
    <row r="1" spans="1:13" ht="16.5" customHeight="1">
      <c r="A1" s="14" t="s">
        <v>0</v>
      </c>
      <c r="B1" s="14" t="s">
        <v>2</v>
      </c>
      <c r="C1" s="14" t="s">
        <v>3</v>
      </c>
      <c r="D1" s="14" t="s">
        <v>4</v>
      </c>
      <c r="E1" s="14" t="s">
        <v>332</v>
      </c>
      <c r="F1" s="13" t="s">
        <v>5</v>
      </c>
      <c r="G1" s="13" t="s">
        <v>6</v>
      </c>
      <c r="H1" s="13"/>
      <c r="I1" s="13"/>
      <c r="J1" s="11" t="s">
        <v>11</v>
      </c>
    </row>
    <row r="2" spans="1:13" ht="27.6">
      <c r="A2" s="14"/>
      <c r="B2" s="14"/>
      <c r="C2" s="14"/>
      <c r="D2" s="14"/>
      <c r="E2" s="14"/>
      <c r="F2" s="13"/>
      <c r="G2" s="120" t="s">
        <v>15</v>
      </c>
      <c r="H2" s="120" t="s">
        <v>16</v>
      </c>
      <c r="I2" s="121" t="s">
        <v>17</v>
      </c>
      <c r="J2" s="11"/>
    </row>
    <row r="3" spans="1:13" ht="27.6">
      <c r="A3" s="122" t="s">
        <v>333</v>
      </c>
      <c r="B3" s="85" t="s">
        <v>334</v>
      </c>
      <c r="C3" s="108" t="s">
        <v>335</v>
      </c>
      <c r="D3" s="85" t="s">
        <v>336</v>
      </c>
      <c r="E3" s="76" t="s">
        <v>328</v>
      </c>
      <c r="F3" s="123">
        <v>14179119.68</v>
      </c>
      <c r="G3" s="88">
        <v>45399</v>
      </c>
      <c r="H3" s="88">
        <v>45764</v>
      </c>
      <c r="I3" s="124" t="e">
        <f t="shared" ref="I3:I15" ca="1" si="0">_xlfn.DAYS(H3,TODAY())</f>
        <v>#NAME?</v>
      </c>
      <c r="J3" s="108" t="s">
        <v>26</v>
      </c>
    </row>
    <row r="4" spans="1:13">
      <c r="A4" s="94" t="s">
        <v>337</v>
      </c>
      <c r="B4" s="64" t="s">
        <v>338</v>
      </c>
      <c r="C4" s="64" t="s">
        <v>339</v>
      </c>
      <c r="D4" s="92" t="s">
        <v>340</v>
      </c>
      <c r="E4" s="64" t="s">
        <v>341</v>
      </c>
      <c r="F4" s="125">
        <v>784798.14</v>
      </c>
      <c r="G4" s="66">
        <v>45750</v>
      </c>
      <c r="H4" s="66">
        <v>46115</v>
      </c>
      <c r="I4" s="126" t="e">
        <f t="shared" ca="1" si="0"/>
        <v>#NAME?</v>
      </c>
      <c r="J4" s="50" t="s">
        <v>110</v>
      </c>
    </row>
    <row r="5" spans="1:13" ht="27.6">
      <c r="A5" s="94" t="s">
        <v>337</v>
      </c>
      <c r="B5" s="75" t="s">
        <v>116</v>
      </c>
      <c r="C5" s="64" t="s">
        <v>117</v>
      </c>
      <c r="D5" s="92" t="s">
        <v>342</v>
      </c>
      <c r="E5" s="64" t="s">
        <v>115</v>
      </c>
      <c r="F5" s="125">
        <v>1165598.5</v>
      </c>
      <c r="G5" s="66">
        <v>45750</v>
      </c>
      <c r="H5" s="66">
        <v>46115</v>
      </c>
      <c r="I5" s="126" t="e">
        <f t="shared" ca="1" si="0"/>
        <v>#NAME?</v>
      </c>
      <c r="J5" s="50" t="s">
        <v>110</v>
      </c>
    </row>
    <row r="6" spans="1:13">
      <c r="A6" s="94" t="s">
        <v>337</v>
      </c>
      <c r="B6" s="75" t="s">
        <v>343</v>
      </c>
      <c r="C6" s="64" t="s">
        <v>344</v>
      </c>
      <c r="D6" s="92" t="s">
        <v>345</v>
      </c>
      <c r="E6" s="64" t="s">
        <v>123</v>
      </c>
      <c r="F6" s="125">
        <v>19000</v>
      </c>
      <c r="G6" s="66">
        <v>45750</v>
      </c>
      <c r="H6" s="66">
        <v>46115</v>
      </c>
      <c r="I6" s="126" t="e">
        <f t="shared" ca="1" si="0"/>
        <v>#NAME?</v>
      </c>
      <c r="J6" s="50" t="s">
        <v>110</v>
      </c>
    </row>
    <row r="7" spans="1:13">
      <c r="A7" s="94" t="s">
        <v>346</v>
      </c>
      <c r="B7" s="94" t="s">
        <v>124</v>
      </c>
      <c r="C7" s="94" t="s">
        <v>125</v>
      </c>
      <c r="D7" s="127" t="s">
        <v>126</v>
      </c>
      <c r="E7" s="64" t="s">
        <v>130</v>
      </c>
      <c r="F7" s="125">
        <v>347053</v>
      </c>
      <c r="G7" s="66">
        <v>45755</v>
      </c>
      <c r="H7" s="66">
        <v>46120</v>
      </c>
      <c r="I7" s="126" t="e">
        <f t="shared" ca="1" si="0"/>
        <v>#NAME?</v>
      </c>
      <c r="J7" s="50" t="s">
        <v>110</v>
      </c>
      <c r="M7" s="73" t="s">
        <v>347</v>
      </c>
    </row>
    <row r="8" spans="1:13" ht="27.6">
      <c r="A8" s="94" t="s">
        <v>348</v>
      </c>
      <c r="B8" s="94" t="s">
        <v>349</v>
      </c>
      <c r="C8" s="94" t="s">
        <v>350</v>
      </c>
      <c r="D8" s="92" t="s">
        <v>351</v>
      </c>
      <c r="E8" s="64" t="s">
        <v>137</v>
      </c>
      <c r="F8" s="125">
        <v>6976.8</v>
      </c>
      <c r="G8" s="66">
        <v>45772</v>
      </c>
      <c r="H8" s="66">
        <v>46137</v>
      </c>
      <c r="I8" s="126" t="e">
        <f t="shared" ca="1" si="0"/>
        <v>#NAME?</v>
      </c>
      <c r="J8" s="50" t="s">
        <v>110</v>
      </c>
    </row>
    <row r="9" spans="1:13" ht="27.6">
      <c r="A9" s="94" t="s">
        <v>348</v>
      </c>
      <c r="B9" s="94" t="s">
        <v>131</v>
      </c>
      <c r="C9" s="94" t="s">
        <v>132</v>
      </c>
      <c r="D9" s="92" t="s">
        <v>352</v>
      </c>
      <c r="E9" s="64" t="s">
        <v>144</v>
      </c>
      <c r="F9" s="125">
        <v>901892.5</v>
      </c>
      <c r="G9" s="66">
        <v>45772</v>
      </c>
      <c r="H9" s="66">
        <v>46137</v>
      </c>
      <c r="I9" s="126" t="e">
        <f t="shared" ca="1" si="0"/>
        <v>#NAME?</v>
      </c>
      <c r="J9" s="50" t="s">
        <v>110</v>
      </c>
    </row>
    <row r="10" spans="1:13" ht="27.6">
      <c r="A10" s="94" t="s">
        <v>348</v>
      </c>
      <c r="B10" s="92" t="s">
        <v>138</v>
      </c>
      <c r="C10" s="94" t="s">
        <v>139</v>
      </c>
      <c r="D10" s="92" t="s">
        <v>353</v>
      </c>
      <c r="E10" s="64" t="s">
        <v>154</v>
      </c>
      <c r="F10" s="125">
        <v>591671.5</v>
      </c>
      <c r="G10" s="66">
        <v>45772</v>
      </c>
      <c r="H10" s="66">
        <v>46137</v>
      </c>
      <c r="I10" s="126" t="e">
        <f t="shared" ca="1" si="0"/>
        <v>#NAME?</v>
      </c>
      <c r="J10" s="50" t="s">
        <v>110</v>
      </c>
    </row>
    <row r="11" spans="1:13" ht="27.6">
      <c r="A11" s="94" t="s">
        <v>348</v>
      </c>
      <c r="B11" s="92" t="s">
        <v>306</v>
      </c>
      <c r="C11" s="94" t="s">
        <v>307</v>
      </c>
      <c r="D11" s="92" t="s">
        <v>354</v>
      </c>
      <c r="E11" s="64" t="s">
        <v>163</v>
      </c>
      <c r="F11" s="125">
        <v>48811.9</v>
      </c>
      <c r="G11" s="66">
        <v>45783</v>
      </c>
      <c r="H11" s="66">
        <v>46148</v>
      </c>
      <c r="I11" s="126" t="e">
        <f t="shared" ca="1" si="0"/>
        <v>#NAME?</v>
      </c>
      <c r="J11" s="50" t="s">
        <v>110</v>
      </c>
    </row>
    <row r="12" spans="1:13" ht="27.6">
      <c r="A12" s="94" t="s">
        <v>348</v>
      </c>
      <c r="B12" s="92" t="s">
        <v>355</v>
      </c>
      <c r="C12" s="94" t="s">
        <v>315</v>
      </c>
      <c r="D12" s="92" t="s">
        <v>356</v>
      </c>
      <c r="E12" s="64" t="s">
        <v>173</v>
      </c>
      <c r="F12" s="125">
        <v>20650.72</v>
      </c>
      <c r="G12" s="66">
        <v>45772</v>
      </c>
      <c r="H12" s="66">
        <v>46137</v>
      </c>
      <c r="I12" s="126" t="e">
        <f t="shared" ca="1" si="0"/>
        <v>#NAME?</v>
      </c>
      <c r="J12" s="50" t="s">
        <v>110</v>
      </c>
    </row>
    <row r="13" spans="1:13" ht="27.6">
      <c r="A13" s="94" t="s">
        <v>348</v>
      </c>
      <c r="B13" s="92" t="s">
        <v>320</v>
      </c>
      <c r="C13" s="94" t="s">
        <v>321</v>
      </c>
      <c r="D13" s="92" t="s">
        <v>357</v>
      </c>
      <c r="E13" s="64" t="s">
        <v>183</v>
      </c>
      <c r="F13" s="125">
        <v>52857.8</v>
      </c>
      <c r="G13" s="66">
        <v>45776</v>
      </c>
      <c r="H13" s="66">
        <v>46141</v>
      </c>
      <c r="I13" s="126" t="e">
        <f t="shared" ca="1" si="0"/>
        <v>#NAME?</v>
      </c>
      <c r="J13" s="50" t="s">
        <v>110</v>
      </c>
    </row>
    <row r="14" spans="1:13" ht="27.6">
      <c r="A14" s="94" t="s">
        <v>358</v>
      </c>
      <c r="B14" s="92" t="s">
        <v>217</v>
      </c>
      <c r="C14" s="94" t="s">
        <v>218</v>
      </c>
      <c r="D14" s="92" t="s">
        <v>359</v>
      </c>
      <c r="E14" s="64" t="s">
        <v>192</v>
      </c>
      <c r="F14" s="128">
        <v>166834128.24000001</v>
      </c>
      <c r="G14" s="66">
        <v>45926</v>
      </c>
      <c r="H14" s="66">
        <v>46291</v>
      </c>
      <c r="I14" s="126" t="e">
        <f t="shared" ca="1" si="0"/>
        <v>#NAME?</v>
      </c>
      <c r="J14" s="50" t="s">
        <v>110</v>
      </c>
    </row>
    <row r="15" spans="1:13" ht="27.6">
      <c r="A15" s="94" t="s">
        <v>360</v>
      </c>
      <c r="B15" s="92" t="s">
        <v>361</v>
      </c>
      <c r="C15" s="94" t="s">
        <v>362</v>
      </c>
      <c r="D15" s="92" t="s">
        <v>363</v>
      </c>
      <c r="E15" s="94" t="s">
        <v>209</v>
      </c>
      <c r="F15" s="128">
        <v>119384703.36</v>
      </c>
      <c r="G15" s="66">
        <v>45966</v>
      </c>
      <c r="H15" s="66">
        <v>46331</v>
      </c>
      <c r="I15" s="126" t="e">
        <f t="shared" ca="1" si="0"/>
        <v>#NAME?</v>
      </c>
      <c r="J15" s="50" t="s">
        <v>110</v>
      </c>
    </row>
  </sheetData>
  <mergeCells count="8">
    <mergeCell ref="F1:F2"/>
    <mergeCell ref="G1:I1"/>
    <mergeCell ref="J1:J2"/>
    <mergeCell ref="A1:A2"/>
    <mergeCell ref="B1:B2"/>
    <mergeCell ref="C1:C2"/>
    <mergeCell ref="D1:D2"/>
    <mergeCell ref="E1:E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4"/>
  <sheetViews>
    <sheetView topLeftCell="A22" workbookViewId="0">
      <selection activeCell="C57" sqref="C57"/>
    </sheetView>
  </sheetViews>
  <sheetFormatPr defaultColWidth="8.6640625" defaultRowHeight="13.2"/>
  <cols>
    <col min="1" max="1" width="16.5546875" style="129" customWidth="1"/>
    <col min="2" max="2" width="12.88671875" style="129" customWidth="1"/>
    <col min="3" max="3" width="30.5546875" style="129" customWidth="1"/>
    <col min="4" max="4" width="18.88671875" style="129" customWidth="1"/>
    <col min="5" max="5" width="44.33203125" style="129" customWidth="1"/>
    <col min="6" max="7" width="14.109375" style="130" customWidth="1"/>
    <col min="8" max="8" width="12.5546875" customWidth="1"/>
    <col min="9" max="9" width="9.88671875" customWidth="1"/>
    <col min="10" max="10" width="11.6640625" customWidth="1"/>
    <col min="11" max="11" width="16.109375" style="131" customWidth="1"/>
    <col min="12" max="12" width="26.88671875" style="131" customWidth="1"/>
    <col min="13" max="13" width="13.88671875" style="131" customWidth="1"/>
    <col min="14" max="14" width="14.44140625" customWidth="1"/>
    <col min="15" max="15" width="6.88671875" style="132" customWidth="1"/>
    <col min="16" max="16" width="25.109375" customWidth="1"/>
    <col min="17" max="1010" width="12.109375" customWidth="1"/>
    <col min="1011" max="1011" width="9.109375" customWidth="1"/>
  </cols>
  <sheetData>
    <row r="1" spans="1:16" ht="16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/>
      <c r="H1" s="13" t="s">
        <v>6</v>
      </c>
      <c r="I1" s="13"/>
      <c r="J1" s="13"/>
      <c r="K1" s="12" t="s">
        <v>7</v>
      </c>
      <c r="L1" s="12" t="s">
        <v>9</v>
      </c>
      <c r="M1" s="12" t="s">
        <v>10</v>
      </c>
      <c r="N1" s="11" t="s">
        <v>11</v>
      </c>
      <c r="O1" s="219" t="s">
        <v>12</v>
      </c>
      <c r="P1" s="9" t="s">
        <v>13</v>
      </c>
    </row>
    <row r="2" spans="1:16" ht="42" customHeight="1">
      <c r="A2" s="14"/>
      <c r="B2" s="14"/>
      <c r="C2" s="14"/>
      <c r="D2" s="14"/>
      <c r="E2" s="14"/>
      <c r="F2" s="21" t="s">
        <v>15</v>
      </c>
      <c r="G2" s="21" t="s">
        <v>16</v>
      </c>
      <c r="H2" s="21" t="s">
        <v>15</v>
      </c>
      <c r="I2" s="21" t="s">
        <v>16</v>
      </c>
      <c r="J2" s="21" t="s">
        <v>17</v>
      </c>
      <c r="K2" s="12"/>
      <c r="L2" s="12"/>
      <c r="M2" s="12"/>
      <c r="N2" s="11"/>
      <c r="O2" s="219"/>
      <c r="P2" s="9"/>
    </row>
    <row r="3" spans="1:16" s="43" customFormat="1" ht="41.4">
      <c r="A3" s="133" t="s">
        <v>364</v>
      </c>
      <c r="B3" s="134" t="s">
        <v>365</v>
      </c>
      <c r="C3" s="135" t="s">
        <v>366</v>
      </c>
      <c r="D3" s="136" t="s">
        <v>367</v>
      </c>
      <c r="E3" s="134" t="s">
        <v>368</v>
      </c>
      <c r="F3" s="137">
        <v>295152.65000000002</v>
      </c>
      <c r="G3" s="138">
        <v>295152.65000000002</v>
      </c>
      <c r="H3" s="52">
        <v>44232</v>
      </c>
      <c r="I3" s="139">
        <v>45692</v>
      </c>
      <c r="J3" s="25" t="e">
        <f t="shared" ref="J3:J34" ca="1" si="0">_xlfn.DAYS(I3,TODAY())</f>
        <v>#NAME?</v>
      </c>
      <c r="K3" s="37" t="s">
        <v>37</v>
      </c>
      <c r="L3" s="62"/>
      <c r="M3" s="38" t="s">
        <v>38</v>
      </c>
      <c r="N3" s="50" t="s">
        <v>26</v>
      </c>
      <c r="O3" s="25">
        <v>3</v>
      </c>
      <c r="P3" s="38" t="s">
        <v>369</v>
      </c>
    </row>
    <row r="4" spans="1:16" s="149" customFormat="1" ht="27.6">
      <c r="A4" s="140"/>
      <c r="B4" s="134" t="s">
        <v>370</v>
      </c>
      <c r="C4" s="33" t="s">
        <v>371</v>
      </c>
      <c r="D4" s="141"/>
      <c r="E4" s="134" t="s">
        <v>372</v>
      </c>
      <c r="F4" s="137">
        <v>301313.88</v>
      </c>
      <c r="G4" s="137">
        <v>301313.88</v>
      </c>
      <c r="H4" s="142">
        <v>44420</v>
      </c>
      <c r="I4" s="142">
        <v>45516</v>
      </c>
      <c r="J4" s="143" t="e">
        <f t="shared" ca="1" si="0"/>
        <v>#NAME?</v>
      </c>
      <c r="K4" s="144"/>
      <c r="L4" s="144"/>
      <c r="M4" s="145"/>
      <c r="N4" s="146"/>
      <c r="O4" s="147">
        <v>3</v>
      </c>
      <c r="P4" s="148"/>
    </row>
    <row r="5" spans="1:16" s="149" customFormat="1" ht="55.2">
      <c r="A5" s="140"/>
      <c r="B5" s="134" t="s">
        <v>373</v>
      </c>
      <c r="C5" s="33" t="s">
        <v>374</v>
      </c>
      <c r="D5" s="141"/>
      <c r="E5" s="134" t="s">
        <v>375</v>
      </c>
      <c r="F5" s="150">
        <v>3070046</v>
      </c>
      <c r="G5" s="150">
        <v>3070046</v>
      </c>
      <c r="H5" s="142">
        <v>44496</v>
      </c>
      <c r="I5" s="142">
        <v>45591</v>
      </c>
      <c r="J5" s="143" t="e">
        <f t="shared" ca="1" si="0"/>
        <v>#NAME?</v>
      </c>
      <c r="K5" s="144"/>
      <c r="L5" s="144"/>
      <c r="M5" s="145"/>
      <c r="N5" s="146"/>
      <c r="O5" s="147">
        <v>2</v>
      </c>
      <c r="P5" s="151"/>
    </row>
    <row r="6" spans="1:16" s="149" customFormat="1" ht="41.4">
      <c r="A6" s="140"/>
      <c r="B6" s="134" t="s">
        <v>376</v>
      </c>
      <c r="C6" s="33" t="s">
        <v>377</v>
      </c>
      <c r="D6" s="141"/>
      <c r="E6" s="134" t="s">
        <v>378</v>
      </c>
      <c r="F6" s="51">
        <v>53750</v>
      </c>
      <c r="G6" s="51">
        <v>53750</v>
      </c>
      <c r="H6" s="152">
        <v>44530</v>
      </c>
      <c r="I6" s="142">
        <v>45259</v>
      </c>
      <c r="J6" s="143" t="e">
        <f t="shared" ca="1" si="0"/>
        <v>#NAME?</v>
      </c>
      <c r="K6" s="144"/>
      <c r="L6" s="144"/>
      <c r="M6" s="145"/>
      <c r="N6" s="146"/>
      <c r="O6" s="147">
        <v>2</v>
      </c>
      <c r="P6" s="151"/>
    </row>
    <row r="7" spans="1:16" s="43" customFormat="1" ht="41.4">
      <c r="A7" s="50" t="s">
        <v>379</v>
      </c>
      <c r="B7" s="33" t="s">
        <v>380</v>
      </c>
      <c r="C7" s="33" t="s">
        <v>381</v>
      </c>
      <c r="D7" s="33" t="s">
        <v>382</v>
      </c>
      <c r="E7" s="33" t="s">
        <v>383</v>
      </c>
      <c r="F7" s="51">
        <v>146870.39999999999</v>
      </c>
      <c r="G7" s="51">
        <v>152362.07999999999</v>
      </c>
      <c r="H7" s="52">
        <v>45236</v>
      </c>
      <c r="I7" s="52">
        <v>45967</v>
      </c>
      <c r="J7" s="143" t="e">
        <f t="shared" ca="1" si="0"/>
        <v>#NAME?</v>
      </c>
      <c r="K7" s="153" t="s">
        <v>94</v>
      </c>
      <c r="L7" s="153" t="s">
        <v>384</v>
      </c>
      <c r="M7" s="38" t="s">
        <v>38</v>
      </c>
      <c r="N7" s="154" t="s">
        <v>26</v>
      </c>
      <c r="O7" s="155">
        <v>3</v>
      </c>
      <c r="P7" s="55" t="s">
        <v>385</v>
      </c>
    </row>
    <row r="8" spans="1:16" s="43" customFormat="1" ht="55.2">
      <c r="A8" s="156" t="s">
        <v>386</v>
      </c>
      <c r="B8" s="22" t="s">
        <v>387</v>
      </c>
      <c r="C8" s="22" t="s">
        <v>388</v>
      </c>
      <c r="D8" s="22" t="s">
        <v>389</v>
      </c>
      <c r="E8" s="22" t="s">
        <v>390</v>
      </c>
      <c r="F8" s="23">
        <v>1332975.44</v>
      </c>
      <c r="G8" s="23">
        <v>1332975.44</v>
      </c>
      <c r="H8" s="24">
        <v>44837</v>
      </c>
      <c r="I8" s="24">
        <v>45933</v>
      </c>
      <c r="J8" s="143" t="e">
        <f t="shared" ca="1" si="0"/>
        <v>#NAME?</v>
      </c>
      <c r="K8" s="26" t="s">
        <v>391</v>
      </c>
      <c r="L8" s="26" t="s">
        <v>392</v>
      </c>
      <c r="M8" s="28" t="s">
        <v>393</v>
      </c>
      <c r="N8" s="157" t="s">
        <v>26</v>
      </c>
      <c r="O8" s="158">
        <v>4</v>
      </c>
      <c r="P8" s="159" t="s">
        <v>394</v>
      </c>
    </row>
    <row r="9" spans="1:16" s="149" customFormat="1" ht="41.4">
      <c r="A9" s="33"/>
      <c r="B9" s="34" t="s">
        <v>395</v>
      </c>
      <c r="C9" s="34" t="s">
        <v>396</v>
      </c>
      <c r="D9" s="160"/>
      <c r="E9" s="34" t="s">
        <v>397</v>
      </c>
      <c r="F9" s="137">
        <v>5590</v>
      </c>
      <c r="G9" s="137">
        <v>5590</v>
      </c>
      <c r="H9" s="142">
        <v>44994</v>
      </c>
      <c r="I9" s="142">
        <v>45359</v>
      </c>
      <c r="J9" s="143" t="e">
        <f t="shared" ca="1" si="0"/>
        <v>#NAME?</v>
      </c>
      <c r="K9" s="144"/>
      <c r="L9" s="161"/>
      <c r="M9" s="162"/>
      <c r="N9" s="163"/>
      <c r="O9" s="147">
        <v>0</v>
      </c>
      <c r="P9" s="164"/>
    </row>
    <row r="10" spans="1:16" s="149" customFormat="1" ht="27.6">
      <c r="A10" s="33"/>
      <c r="B10" s="33" t="s">
        <v>398</v>
      </c>
      <c r="C10" s="33" t="s">
        <v>399</v>
      </c>
      <c r="D10" s="33"/>
      <c r="E10" s="33" t="s">
        <v>397</v>
      </c>
      <c r="F10" s="137">
        <v>2580</v>
      </c>
      <c r="G10" s="137">
        <v>2580</v>
      </c>
      <c r="H10" s="142">
        <v>44994</v>
      </c>
      <c r="I10" s="142">
        <v>45359</v>
      </c>
      <c r="J10" s="143" t="e">
        <f t="shared" ca="1" si="0"/>
        <v>#NAME?</v>
      </c>
      <c r="K10" s="144"/>
      <c r="L10" s="161"/>
      <c r="M10" s="162"/>
      <c r="N10" s="163"/>
      <c r="O10" s="147">
        <v>0</v>
      </c>
      <c r="P10" s="164"/>
    </row>
    <row r="11" spans="1:16" s="149" customFormat="1" ht="27.6">
      <c r="A11" s="33"/>
      <c r="B11" s="33" t="s">
        <v>400</v>
      </c>
      <c r="C11" s="33" t="s">
        <v>401</v>
      </c>
      <c r="D11" s="33"/>
      <c r="E11" s="33" t="s">
        <v>397</v>
      </c>
      <c r="F11" s="137">
        <v>3180.2</v>
      </c>
      <c r="G11" s="137">
        <v>3180.2</v>
      </c>
      <c r="H11" s="142">
        <v>44994</v>
      </c>
      <c r="I11" s="142">
        <v>45359</v>
      </c>
      <c r="J11" s="143" t="e">
        <f t="shared" ca="1" si="0"/>
        <v>#NAME?</v>
      </c>
      <c r="K11" s="144"/>
      <c r="L11" s="161"/>
      <c r="M11" s="162"/>
      <c r="N11" s="163"/>
      <c r="O11" s="147">
        <v>0</v>
      </c>
      <c r="P11" s="164"/>
    </row>
    <row r="12" spans="1:16" s="149" customFormat="1" ht="41.4">
      <c r="A12" s="33"/>
      <c r="B12" s="33" t="s">
        <v>402</v>
      </c>
      <c r="C12" s="33" t="s">
        <v>403</v>
      </c>
      <c r="D12" s="33"/>
      <c r="E12" s="33" t="s">
        <v>397</v>
      </c>
      <c r="F12" s="137">
        <v>14223.5</v>
      </c>
      <c r="G12" s="137">
        <v>14223.5</v>
      </c>
      <c r="H12" s="142">
        <v>44994</v>
      </c>
      <c r="I12" s="142">
        <v>45359</v>
      </c>
      <c r="J12" s="143" t="e">
        <f t="shared" ca="1" si="0"/>
        <v>#NAME?</v>
      </c>
      <c r="K12" s="144"/>
      <c r="L12" s="161"/>
      <c r="M12" s="162"/>
      <c r="N12" s="163"/>
      <c r="O12" s="147">
        <v>0</v>
      </c>
      <c r="P12" s="164"/>
    </row>
    <row r="13" spans="1:16" s="149" customFormat="1" ht="27.6">
      <c r="A13" s="33"/>
      <c r="B13" s="33" t="s">
        <v>404</v>
      </c>
      <c r="C13" s="33" t="s">
        <v>405</v>
      </c>
      <c r="D13" s="33"/>
      <c r="E13" s="33" t="s">
        <v>397</v>
      </c>
      <c r="F13" s="137">
        <v>2773.6</v>
      </c>
      <c r="G13" s="137">
        <v>2773.6</v>
      </c>
      <c r="H13" s="142">
        <v>44994</v>
      </c>
      <c r="I13" s="142">
        <v>45359</v>
      </c>
      <c r="J13" s="143" t="e">
        <f t="shared" ca="1" si="0"/>
        <v>#NAME?</v>
      </c>
      <c r="K13" s="144"/>
      <c r="L13" s="161"/>
      <c r="M13" s="162"/>
      <c r="N13" s="163"/>
      <c r="O13" s="147">
        <v>0</v>
      </c>
      <c r="P13" s="164"/>
    </row>
    <row r="14" spans="1:16" s="149" customFormat="1" ht="41.4">
      <c r="A14" s="50"/>
      <c r="B14" s="33" t="s">
        <v>406</v>
      </c>
      <c r="C14" s="165" t="s">
        <v>407</v>
      </c>
      <c r="D14" s="166"/>
      <c r="E14" s="33" t="s">
        <v>408</v>
      </c>
      <c r="F14" s="51">
        <v>17000</v>
      </c>
      <c r="G14" s="51">
        <v>17000</v>
      </c>
      <c r="H14" s="52">
        <v>45160</v>
      </c>
      <c r="I14" s="52">
        <v>45526</v>
      </c>
      <c r="J14" s="143" t="e">
        <f t="shared" ca="1" si="0"/>
        <v>#NAME?</v>
      </c>
      <c r="K14" s="161"/>
      <c r="L14" s="161"/>
      <c r="M14" s="92"/>
      <c r="N14" s="163"/>
      <c r="O14" s="155">
        <v>0</v>
      </c>
      <c r="P14" s="164"/>
    </row>
    <row r="15" spans="1:16" s="149" customFormat="1" ht="13.8">
      <c r="A15" s="50"/>
      <c r="B15" s="33" t="s">
        <v>409</v>
      </c>
      <c r="C15" s="165" t="s">
        <v>410</v>
      </c>
      <c r="D15" s="166"/>
      <c r="E15" s="33" t="s">
        <v>411</v>
      </c>
      <c r="F15" s="51">
        <v>2082.3000000000002</v>
      </c>
      <c r="G15" s="51">
        <v>2082.3000000000002</v>
      </c>
      <c r="H15" s="52">
        <v>45184</v>
      </c>
      <c r="I15" s="52">
        <v>45550</v>
      </c>
      <c r="J15" s="143" t="e">
        <f t="shared" ca="1" si="0"/>
        <v>#NAME?</v>
      </c>
      <c r="K15" s="161"/>
      <c r="L15" s="161"/>
      <c r="M15" s="92"/>
      <c r="N15" s="163"/>
      <c r="O15" s="155">
        <v>0</v>
      </c>
      <c r="P15" s="164"/>
    </row>
    <row r="16" spans="1:16" s="149" customFormat="1" ht="13.8">
      <c r="A16" s="50"/>
      <c r="B16" s="33" t="s">
        <v>412</v>
      </c>
      <c r="C16" s="165" t="s">
        <v>413</v>
      </c>
      <c r="D16" s="166"/>
      <c r="E16" s="33" t="s">
        <v>414</v>
      </c>
      <c r="F16" s="51">
        <v>5050</v>
      </c>
      <c r="G16" s="51">
        <v>5050</v>
      </c>
      <c r="H16" s="52">
        <v>45259</v>
      </c>
      <c r="I16" s="52">
        <v>45261</v>
      </c>
      <c r="J16" s="143" t="e">
        <f t="shared" ca="1" si="0"/>
        <v>#NAME?</v>
      </c>
      <c r="K16" s="161"/>
      <c r="L16" s="161"/>
      <c r="M16" s="92"/>
      <c r="N16" s="163"/>
      <c r="O16" s="155">
        <v>1</v>
      </c>
      <c r="P16" s="167" t="s">
        <v>415</v>
      </c>
    </row>
    <row r="17" spans="1:16" s="149" customFormat="1" ht="27.6">
      <c r="A17" s="50"/>
      <c r="B17" s="33" t="s">
        <v>416</v>
      </c>
      <c r="C17" s="168" t="s">
        <v>417</v>
      </c>
      <c r="D17" s="169"/>
      <c r="E17" s="34" t="s">
        <v>418</v>
      </c>
      <c r="F17" s="35">
        <v>1550</v>
      </c>
      <c r="G17" s="51">
        <v>1550</v>
      </c>
      <c r="H17" s="52">
        <v>45287</v>
      </c>
      <c r="I17" s="52">
        <v>45653</v>
      </c>
      <c r="J17" s="143" t="e">
        <f t="shared" ca="1" si="0"/>
        <v>#NAME?</v>
      </c>
      <c r="K17" s="161"/>
      <c r="L17" s="161"/>
      <c r="M17" s="92"/>
      <c r="N17" s="163"/>
      <c r="O17" s="155">
        <v>0</v>
      </c>
      <c r="P17" s="164"/>
    </row>
    <row r="18" spans="1:16" s="149" customFormat="1" ht="41.4">
      <c r="A18" s="50"/>
      <c r="B18" s="170" t="s">
        <v>419</v>
      </c>
      <c r="C18" s="33" t="s">
        <v>420</v>
      </c>
      <c r="D18" s="141"/>
      <c r="E18" s="33" t="s">
        <v>421</v>
      </c>
      <c r="F18" s="51">
        <v>1015800</v>
      </c>
      <c r="G18" s="171">
        <v>1015800</v>
      </c>
      <c r="H18" s="52">
        <v>45287</v>
      </c>
      <c r="I18" s="52">
        <v>45653</v>
      </c>
      <c r="J18" s="143" t="e">
        <f t="shared" ca="1" si="0"/>
        <v>#NAME?</v>
      </c>
      <c r="K18" s="161"/>
      <c r="L18" s="161"/>
      <c r="M18" s="92"/>
      <c r="N18" s="163"/>
      <c r="O18" s="172"/>
      <c r="P18" s="164"/>
    </row>
    <row r="19" spans="1:16" s="149" customFormat="1" ht="27.6">
      <c r="A19" s="50"/>
      <c r="B19" s="170" t="s">
        <v>422</v>
      </c>
      <c r="C19" s="33" t="s">
        <v>423</v>
      </c>
      <c r="D19" s="141"/>
      <c r="E19" s="33" t="s">
        <v>424</v>
      </c>
      <c r="F19" s="51">
        <v>1890</v>
      </c>
      <c r="G19" s="51">
        <v>1890</v>
      </c>
      <c r="H19" s="52">
        <v>45287</v>
      </c>
      <c r="I19" s="52">
        <v>45653</v>
      </c>
      <c r="J19" s="143" t="e">
        <f t="shared" ca="1" si="0"/>
        <v>#NAME?</v>
      </c>
      <c r="K19" s="161"/>
      <c r="L19" s="161"/>
      <c r="M19" s="92"/>
      <c r="N19" s="163"/>
      <c r="O19" s="172"/>
      <c r="P19" s="164"/>
    </row>
    <row r="20" spans="1:16" s="149" customFormat="1" ht="27.6">
      <c r="A20" s="50"/>
      <c r="B20" s="170" t="s">
        <v>425</v>
      </c>
      <c r="C20" s="33" t="s">
        <v>426</v>
      </c>
      <c r="D20" s="141"/>
      <c r="E20" s="33" t="s">
        <v>427</v>
      </c>
      <c r="F20" s="51">
        <v>65000</v>
      </c>
      <c r="G20" s="51">
        <v>65000</v>
      </c>
      <c r="H20" s="52">
        <v>45287</v>
      </c>
      <c r="I20" s="52">
        <v>45653</v>
      </c>
      <c r="J20" s="143" t="e">
        <f t="shared" ca="1" si="0"/>
        <v>#NAME?</v>
      </c>
      <c r="K20" s="161"/>
      <c r="L20" s="161"/>
      <c r="M20" s="92"/>
      <c r="N20" s="163"/>
      <c r="O20" s="172"/>
      <c r="P20" s="164"/>
    </row>
    <row r="21" spans="1:16" s="149" customFormat="1" ht="27.6">
      <c r="A21" s="50"/>
      <c r="B21" s="170" t="s">
        <v>428</v>
      </c>
      <c r="C21" s="33" t="s">
        <v>429</v>
      </c>
      <c r="D21" s="141"/>
      <c r="E21" s="33" t="s">
        <v>427</v>
      </c>
      <c r="F21" s="51">
        <v>84376</v>
      </c>
      <c r="G21" s="51">
        <v>84376</v>
      </c>
      <c r="H21" s="52">
        <v>45287</v>
      </c>
      <c r="I21" s="52">
        <v>45653</v>
      </c>
      <c r="J21" s="143" t="e">
        <f t="shared" ca="1" si="0"/>
        <v>#NAME?</v>
      </c>
      <c r="K21" s="161"/>
      <c r="L21" s="161"/>
      <c r="M21" s="92"/>
      <c r="N21" s="163"/>
      <c r="O21" s="172"/>
      <c r="P21" s="164"/>
    </row>
    <row r="22" spans="1:16" s="149" customFormat="1" ht="27.6">
      <c r="A22" s="50"/>
      <c r="B22" s="170" t="s">
        <v>430</v>
      </c>
      <c r="C22" s="33" t="s">
        <v>431</v>
      </c>
      <c r="D22" s="141"/>
      <c r="E22" s="33" t="s">
        <v>427</v>
      </c>
      <c r="F22" s="51">
        <v>108800</v>
      </c>
      <c r="G22" s="51">
        <v>108800</v>
      </c>
      <c r="H22" s="52">
        <v>45287</v>
      </c>
      <c r="I22" s="52">
        <v>45653</v>
      </c>
      <c r="J22" s="143" t="e">
        <f t="shared" ca="1" si="0"/>
        <v>#NAME?</v>
      </c>
      <c r="K22" s="161"/>
      <c r="L22" s="161"/>
      <c r="M22" s="92"/>
      <c r="N22" s="163"/>
      <c r="O22" s="172"/>
      <c r="P22" s="164"/>
    </row>
    <row r="23" spans="1:16" s="149" customFormat="1" ht="41.4">
      <c r="A23" s="50"/>
      <c r="B23" s="170" t="s">
        <v>432</v>
      </c>
      <c r="C23" s="33" t="s">
        <v>433</v>
      </c>
      <c r="D23" s="141"/>
      <c r="E23" s="33" t="s">
        <v>427</v>
      </c>
      <c r="F23" s="51">
        <v>17399</v>
      </c>
      <c r="G23" s="51">
        <v>17399</v>
      </c>
      <c r="H23" s="52">
        <v>45287</v>
      </c>
      <c r="I23" s="52">
        <v>45653</v>
      </c>
      <c r="J23" s="143" t="e">
        <f t="shared" ca="1" si="0"/>
        <v>#NAME?</v>
      </c>
      <c r="K23" s="161"/>
      <c r="L23" s="161"/>
      <c r="M23" s="92"/>
      <c r="N23" s="163"/>
      <c r="O23" s="172"/>
      <c r="P23" s="164"/>
    </row>
    <row r="24" spans="1:16" s="149" customFormat="1" ht="27.6">
      <c r="A24" s="50"/>
      <c r="B24" s="170" t="s">
        <v>434</v>
      </c>
      <c r="C24" s="33" t="s">
        <v>435</v>
      </c>
      <c r="D24" s="141"/>
      <c r="E24" s="33" t="s">
        <v>427</v>
      </c>
      <c r="F24" s="51">
        <v>650</v>
      </c>
      <c r="G24" s="51">
        <v>650</v>
      </c>
      <c r="H24" s="52">
        <v>45287</v>
      </c>
      <c r="I24" s="52">
        <v>45653</v>
      </c>
      <c r="J24" s="143" t="e">
        <f t="shared" ca="1" si="0"/>
        <v>#NAME?</v>
      </c>
      <c r="K24" s="161"/>
      <c r="L24" s="173"/>
      <c r="M24" s="92"/>
      <c r="N24" s="163"/>
      <c r="O24" s="172"/>
      <c r="P24" s="164"/>
    </row>
    <row r="25" spans="1:16" s="149" customFormat="1" ht="27.6">
      <c r="A25" s="50"/>
      <c r="B25" s="170" t="s">
        <v>436</v>
      </c>
      <c r="C25" s="33" t="s">
        <v>437</v>
      </c>
      <c r="D25" s="141"/>
      <c r="E25" s="33" t="s">
        <v>427</v>
      </c>
      <c r="F25" s="51">
        <v>251340</v>
      </c>
      <c r="G25" s="51">
        <v>251340</v>
      </c>
      <c r="H25" s="52">
        <v>45289</v>
      </c>
      <c r="I25" s="52">
        <v>45655</v>
      </c>
      <c r="J25" s="143" t="e">
        <f t="shared" ca="1" si="0"/>
        <v>#NAME?</v>
      </c>
      <c r="K25" s="161"/>
      <c r="L25" s="62"/>
      <c r="M25" s="92"/>
      <c r="N25" s="163"/>
      <c r="O25" s="172"/>
      <c r="P25" s="164"/>
    </row>
    <row r="26" spans="1:16" ht="13.8">
      <c r="A26" s="33" t="s">
        <v>438</v>
      </c>
      <c r="B26" s="100"/>
      <c r="C26" s="33" t="s">
        <v>439</v>
      </c>
      <c r="D26" s="33"/>
      <c r="E26" s="33" t="s">
        <v>440</v>
      </c>
      <c r="F26" s="62"/>
      <c r="G26" s="174"/>
      <c r="H26" s="52"/>
      <c r="I26" s="52"/>
      <c r="J26" s="143" t="e">
        <f t="shared" ca="1" si="0"/>
        <v>#NAME?</v>
      </c>
      <c r="K26" s="175"/>
      <c r="L26" s="38"/>
      <c r="M26" s="38" t="s">
        <v>441</v>
      </c>
      <c r="N26" s="176"/>
      <c r="O26" s="177"/>
      <c r="P26" s="118"/>
    </row>
    <row r="27" spans="1:16" s="43" customFormat="1" ht="27.6">
      <c r="A27" s="178" t="s">
        <v>442</v>
      </c>
      <c r="B27" s="134" t="s">
        <v>328</v>
      </c>
      <c r="C27" s="134" t="s">
        <v>443</v>
      </c>
      <c r="D27" s="134" t="s">
        <v>444</v>
      </c>
      <c r="E27" s="134" t="s">
        <v>445</v>
      </c>
      <c r="F27" s="179">
        <v>8466.35</v>
      </c>
      <c r="G27" s="62">
        <v>8466.35</v>
      </c>
      <c r="H27" s="52">
        <v>45350</v>
      </c>
      <c r="I27" s="52">
        <v>45716</v>
      </c>
      <c r="J27" s="143" t="e">
        <f t="shared" ca="1" si="0"/>
        <v>#NAME?</v>
      </c>
      <c r="K27" s="38" t="s">
        <v>37</v>
      </c>
      <c r="L27" s="180" t="s">
        <v>446</v>
      </c>
      <c r="M27" s="38" t="s">
        <v>38</v>
      </c>
      <c r="N27" s="181" t="s">
        <v>26</v>
      </c>
      <c r="O27" s="182">
        <v>0</v>
      </c>
      <c r="P27" s="183"/>
    </row>
    <row r="28" spans="1:16" s="43" customFormat="1" ht="27.6">
      <c r="A28" s="178" t="s">
        <v>447</v>
      </c>
      <c r="B28" s="134" t="s">
        <v>448</v>
      </c>
      <c r="C28" s="33" t="s">
        <v>449</v>
      </c>
      <c r="D28" s="33" t="s">
        <v>450</v>
      </c>
      <c r="E28" s="33" t="s">
        <v>445</v>
      </c>
      <c r="F28" s="62">
        <v>679.8</v>
      </c>
      <c r="G28" s="62">
        <v>679.8</v>
      </c>
      <c r="H28" s="52">
        <v>45350</v>
      </c>
      <c r="I28" s="52">
        <v>45716</v>
      </c>
      <c r="J28" s="143" t="e">
        <f t="shared" ca="1" si="0"/>
        <v>#NAME?</v>
      </c>
      <c r="K28" s="38" t="s">
        <v>37</v>
      </c>
      <c r="L28" s="184" t="s">
        <v>451</v>
      </c>
      <c r="M28" s="38" t="s">
        <v>38</v>
      </c>
      <c r="N28" s="181" t="s">
        <v>26</v>
      </c>
      <c r="O28" s="182">
        <v>0</v>
      </c>
      <c r="P28" s="183"/>
    </row>
    <row r="29" spans="1:16" s="43" customFormat="1" ht="27.6">
      <c r="A29" s="165" t="s">
        <v>452</v>
      </c>
      <c r="B29" s="33" t="s">
        <v>453</v>
      </c>
      <c r="C29" s="33" t="s">
        <v>454</v>
      </c>
      <c r="D29" s="33" t="s">
        <v>455</v>
      </c>
      <c r="E29" s="33" t="s">
        <v>456</v>
      </c>
      <c r="F29" s="62">
        <v>3900</v>
      </c>
      <c r="G29" s="62">
        <v>3900</v>
      </c>
      <c r="H29" s="52">
        <v>45384</v>
      </c>
      <c r="I29" s="52">
        <v>45749</v>
      </c>
      <c r="J29" s="143" t="e">
        <f t="shared" ca="1" si="0"/>
        <v>#NAME?</v>
      </c>
      <c r="K29" s="38" t="s">
        <v>457</v>
      </c>
      <c r="L29" s="180" t="s">
        <v>458</v>
      </c>
      <c r="M29" s="38" t="s">
        <v>38</v>
      </c>
      <c r="N29" s="181" t="s">
        <v>26</v>
      </c>
      <c r="O29" s="177">
        <v>0</v>
      </c>
      <c r="P29" s="183"/>
    </row>
    <row r="30" spans="1:16" s="43" customFormat="1" ht="27.6">
      <c r="A30" s="165" t="s">
        <v>459</v>
      </c>
      <c r="B30" s="33" t="s">
        <v>460</v>
      </c>
      <c r="C30" s="33" t="s">
        <v>461</v>
      </c>
      <c r="D30" s="33" t="s">
        <v>462</v>
      </c>
      <c r="E30" s="33" t="s">
        <v>463</v>
      </c>
      <c r="F30" s="62">
        <v>1782.9</v>
      </c>
      <c r="G30" s="62">
        <v>1782.9</v>
      </c>
      <c r="H30" s="52">
        <v>45372</v>
      </c>
      <c r="I30" s="52">
        <v>45737</v>
      </c>
      <c r="J30" s="143" t="e">
        <f t="shared" ca="1" si="0"/>
        <v>#NAME?</v>
      </c>
      <c r="K30" s="38" t="s">
        <v>37</v>
      </c>
      <c r="L30" s="180" t="s">
        <v>464</v>
      </c>
      <c r="M30" s="38" t="s">
        <v>38</v>
      </c>
      <c r="N30" s="181" t="s">
        <v>26</v>
      </c>
      <c r="O30" s="177">
        <v>0</v>
      </c>
      <c r="P30" s="183"/>
    </row>
    <row r="31" spans="1:16" s="43" customFormat="1" ht="27.6">
      <c r="A31" s="50" t="s">
        <v>465</v>
      </c>
      <c r="B31" s="33" t="s">
        <v>466</v>
      </c>
      <c r="C31" s="165" t="s">
        <v>467</v>
      </c>
      <c r="D31" s="170" t="s">
        <v>468</v>
      </c>
      <c r="E31" s="33" t="s">
        <v>469</v>
      </c>
      <c r="F31" s="62">
        <v>114</v>
      </c>
      <c r="G31" s="62">
        <v>114</v>
      </c>
      <c r="H31" s="52">
        <v>45365</v>
      </c>
      <c r="I31" s="52">
        <v>45730</v>
      </c>
      <c r="J31" s="143" t="e">
        <f t="shared" ca="1" si="0"/>
        <v>#NAME?</v>
      </c>
      <c r="K31" s="38" t="s">
        <v>37</v>
      </c>
      <c r="L31" s="184" t="s">
        <v>470</v>
      </c>
      <c r="M31" s="38" t="s">
        <v>38</v>
      </c>
      <c r="N31" s="181" t="s">
        <v>26</v>
      </c>
      <c r="O31" s="182">
        <v>0</v>
      </c>
      <c r="P31" s="183"/>
    </row>
    <row r="32" spans="1:16" s="43" customFormat="1" ht="27.6">
      <c r="A32" s="165" t="s">
        <v>471</v>
      </c>
      <c r="B32" s="170" t="s">
        <v>472</v>
      </c>
      <c r="C32" s="33" t="s">
        <v>473</v>
      </c>
      <c r="D32" s="33" t="s">
        <v>474</v>
      </c>
      <c r="E32" s="33" t="s">
        <v>475</v>
      </c>
      <c r="F32" s="62">
        <v>2150</v>
      </c>
      <c r="G32" s="62">
        <v>2150</v>
      </c>
      <c r="H32" s="52">
        <v>45422</v>
      </c>
      <c r="I32" s="52">
        <v>45787</v>
      </c>
      <c r="J32" s="143" t="e">
        <f t="shared" ca="1" si="0"/>
        <v>#NAME?</v>
      </c>
      <c r="K32" s="38" t="s">
        <v>457</v>
      </c>
      <c r="L32" s="184" t="s">
        <v>476</v>
      </c>
      <c r="M32" s="38" t="s">
        <v>38</v>
      </c>
      <c r="N32" s="181" t="s">
        <v>26</v>
      </c>
      <c r="O32" s="177">
        <v>0</v>
      </c>
      <c r="P32" s="183"/>
    </row>
    <row r="33" spans="1:16" s="43" customFormat="1" ht="27.6">
      <c r="A33" s="33" t="s">
        <v>477</v>
      </c>
      <c r="B33" s="33" t="s">
        <v>478</v>
      </c>
      <c r="C33" s="33" t="s">
        <v>479</v>
      </c>
      <c r="D33" s="33" t="s">
        <v>480</v>
      </c>
      <c r="E33" s="33" t="s">
        <v>481</v>
      </c>
      <c r="F33" s="174">
        <v>6200</v>
      </c>
      <c r="G33" s="174">
        <v>6200</v>
      </c>
      <c r="H33" s="52">
        <v>45399</v>
      </c>
      <c r="I33" s="52">
        <v>45764</v>
      </c>
      <c r="J33" s="143" t="e">
        <f t="shared" ca="1" si="0"/>
        <v>#NAME?</v>
      </c>
      <c r="K33" s="38" t="s">
        <v>230</v>
      </c>
      <c r="L33" s="180" t="s">
        <v>482</v>
      </c>
      <c r="M33" s="38" t="s">
        <v>38</v>
      </c>
      <c r="N33" s="181" t="s">
        <v>26</v>
      </c>
      <c r="O33" s="177">
        <v>0</v>
      </c>
      <c r="P33" s="183"/>
    </row>
    <row r="34" spans="1:16" s="43" customFormat="1" ht="27.6">
      <c r="A34" s="33" t="s">
        <v>483</v>
      </c>
      <c r="B34" s="33" t="s">
        <v>484</v>
      </c>
      <c r="C34" s="33" t="s">
        <v>485</v>
      </c>
      <c r="D34" s="33" t="s">
        <v>486</v>
      </c>
      <c r="E34" s="33" t="s">
        <v>427</v>
      </c>
      <c r="F34" s="174">
        <v>4767</v>
      </c>
      <c r="G34" s="174">
        <v>4767</v>
      </c>
      <c r="H34" s="52">
        <v>45433</v>
      </c>
      <c r="I34" s="52">
        <v>45798</v>
      </c>
      <c r="J34" s="143" t="e">
        <f t="shared" ca="1" si="0"/>
        <v>#NAME?</v>
      </c>
      <c r="K34" s="38"/>
      <c r="L34" s="153"/>
      <c r="M34" s="36" t="s">
        <v>38</v>
      </c>
      <c r="N34" s="185" t="s">
        <v>26</v>
      </c>
      <c r="O34" s="177">
        <v>0</v>
      </c>
      <c r="P34" s="183"/>
    </row>
    <row r="35" spans="1:16" s="43" customFormat="1" ht="27.6">
      <c r="A35" s="50" t="s">
        <v>465</v>
      </c>
      <c r="B35" s="33" t="s">
        <v>487</v>
      </c>
      <c r="C35" s="33" t="s">
        <v>488</v>
      </c>
      <c r="D35" s="33" t="s">
        <v>489</v>
      </c>
      <c r="E35" s="33" t="s">
        <v>463</v>
      </c>
      <c r="F35" s="174">
        <v>5890.8</v>
      </c>
      <c r="G35" s="174">
        <v>5890.8</v>
      </c>
      <c r="H35" s="52">
        <v>45371</v>
      </c>
      <c r="I35" s="52">
        <v>45736</v>
      </c>
      <c r="J35" s="143" t="e">
        <f t="shared" ref="J35:J66" ca="1" si="1">_xlfn.DAYS(I35,TODAY())</f>
        <v>#NAME?</v>
      </c>
      <c r="K35" s="38" t="s">
        <v>37</v>
      </c>
      <c r="L35" s="38" t="s">
        <v>490</v>
      </c>
      <c r="M35" s="38" t="s">
        <v>38</v>
      </c>
      <c r="N35" s="181" t="s">
        <v>26</v>
      </c>
      <c r="O35" s="186">
        <v>0</v>
      </c>
      <c r="P35" s="183"/>
    </row>
    <row r="36" spans="1:16" s="43" customFormat="1" ht="41.4">
      <c r="A36" s="33" t="s">
        <v>491</v>
      </c>
      <c r="B36" s="33" t="s">
        <v>492</v>
      </c>
      <c r="C36" s="33" t="s">
        <v>493</v>
      </c>
      <c r="D36" s="33" t="s">
        <v>494</v>
      </c>
      <c r="E36" s="33" t="s">
        <v>463</v>
      </c>
      <c r="F36" s="174">
        <v>2956.5</v>
      </c>
      <c r="G36" s="174">
        <v>2956.5</v>
      </c>
      <c r="H36" s="52">
        <v>45365</v>
      </c>
      <c r="I36" s="52">
        <v>45730</v>
      </c>
      <c r="J36" s="143" t="e">
        <f t="shared" ca="1" si="1"/>
        <v>#NAME?</v>
      </c>
      <c r="K36" s="38" t="s">
        <v>457</v>
      </c>
      <c r="L36" s="38" t="s">
        <v>495</v>
      </c>
      <c r="M36" s="38" t="s">
        <v>38</v>
      </c>
      <c r="N36" s="181" t="s">
        <v>26</v>
      </c>
      <c r="O36" s="186">
        <v>0</v>
      </c>
      <c r="P36" s="183"/>
    </row>
    <row r="37" spans="1:16" s="43" customFormat="1" ht="27.6">
      <c r="A37" s="178" t="s">
        <v>496</v>
      </c>
      <c r="B37" s="134" t="s">
        <v>497</v>
      </c>
      <c r="C37" s="134" t="s">
        <v>498</v>
      </c>
      <c r="D37" s="134" t="s">
        <v>499</v>
      </c>
      <c r="E37" s="134" t="s">
        <v>463</v>
      </c>
      <c r="F37" s="62">
        <v>2670</v>
      </c>
      <c r="G37" s="62">
        <v>2670</v>
      </c>
      <c r="H37" s="52">
        <v>45420</v>
      </c>
      <c r="I37" s="52">
        <v>45785</v>
      </c>
      <c r="J37" s="143" t="e">
        <f t="shared" ca="1" si="1"/>
        <v>#NAME?</v>
      </c>
      <c r="K37" s="38" t="s">
        <v>457</v>
      </c>
      <c r="L37" s="38" t="s">
        <v>500</v>
      </c>
      <c r="M37" s="38" t="s">
        <v>38</v>
      </c>
      <c r="N37" s="181" t="s">
        <v>26</v>
      </c>
      <c r="O37" s="186">
        <v>0</v>
      </c>
      <c r="P37" s="183"/>
    </row>
    <row r="38" spans="1:16" s="43" customFormat="1" ht="27.6">
      <c r="A38" s="165" t="s">
        <v>501</v>
      </c>
      <c r="B38" s="33" t="s">
        <v>502</v>
      </c>
      <c r="C38" s="33" t="s">
        <v>503</v>
      </c>
      <c r="D38" s="33" t="s">
        <v>504</v>
      </c>
      <c r="E38" s="33" t="s">
        <v>463</v>
      </c>
      <c r="F38" s="62">
        <v>304</v>
      </c>
      <c r="G38" s="62">
        <v>304</v>
      </c>
      <c r="H38" s="52">
        <v>45404</v>
      </c>
      <c r="I38" s="52">
        <v>45769</v>
      </c>
      <c r="J38" s="143" t="e">
        <f t="shared" ca="1" si="1"/>
        <v>#NAME?</v>
      </c>
      <c r="K38" s="38"/>
      <c r="L38" s="38"/>
      <c r="M38" s="38" t="s">
        <v>38</v>
      </c>
      <c r="N38" s="181" t="s">
        <v>26</v>
      </c>
      <c r="O38" s="186">
        <v>0</v>
      </c>
      <c r="P38" s="183"/>
    </row>
    <row r="39" spans="1:16" s="43" customFormat="1" ht="27.6">
      <c r="A39" s="165" t="s">
        <v>505</v>
      </c>
      <c r="B39" s="33" t="s">
        <v>506</v>
      </c>
      <c r="C39" s="33" t="s">
        <v>507</v>
      </c>
      <c r="D39" s="33" t="s">
        <v>508</v>
      </c>
      <c r="E39" s="33" t="s">
        <v>509</v>
      </c>
      <c r="F39" s="62">
        <v>3225</v>
      </c>
      <c r="G39" s="62">
        <v>3225</v>
      </c>
      <c r="H39" s="52">
        <v>45464</v>
      </c>
      <c r="I39" s="52">
        <v>45829</v>
      </c>
      <c r="J39" s="143" t="e">
        <f t="shared" ca="1" si="1"/>
        <v>#NAME?</v>
      </c>
      <c r="L39" s="38"/>
      <c r="M39" s="36" t="s">
        <v>38</v>
      </c>
      <c r="N39" s="181" t="s">
        <v>26</v>
      </c>
      <c r="O39" s="186">
        <v>1</v>
      </c>
      <c r="P39" s="187" t="s">
        <v>510</v>
      </c>
    </row>
    <row r="40" spans="1:16" s="43" customFormat="1" ht="27.6">
      <c r="A40" s="165" t="s">
        <v>511</v>
      </c>
      <c r="B40" s="33" t="s">
        <v>512</v>
      </c>
      <c r="C40" s="33" t="s">
        <v>513</v>
      </c>
      <c r="D40" s="33" t="s">
        <v>514</v>
      </c>
      <c r="E40" s="33" t="s">
        <v>515</v>
      </c>
      <c r="F40" s="62">
        <v>2000</v>
      </c>
      <c r="G40" s="62">
        <v>2000</v>
      </c>
      <c r="H40" s="52">
        <v>45468</v>
      </c>
      <c r="I40" s="52">
        <v>45833</v>
      </c>
      <c r="J40" s="143" t="e">
        <f t="shared" ca="1" si="1"/>
        <v>#NAME?</v>
      </c>
      <c r="K40" s="184" t="s">
        <v>177</v>
      </c>
      <c r="L40" s="38" t="s">
        <v>516</v>
      </c>
      <c r="M40" s="188" t="s">
        <v>517</v>
      </c>
      <c r="N40" s="50" t="s">
        <v>110</v>
      </c>
      <c r="O40" s="186">
        <v>0</v>
      </c>
      <c r="P40" s="183"/>
    </row>
    <row r="41" spans="1:16" s="43" customFormat="1" ht="41.4">
      <c r="A41" s="165" t="s">
        <v>518</v>
      </c>
      <c r="B41" s="33" t="s">
        <v>519</v>
      </c>
      <c r="C41" s="33" t="s">
        <v>520</v>
      </c>
      <c r="D41" s="33" t="s">
        <v>521</v>
      </c>
      <c r="E41" s="33" t="s">
        <v>522</v>
      </c>
      <c r="F41" s="62">
        <v>30000</v>
      </c>
      <c r="G41" s="62">
        <v>30000</v>
      </c>
      <c r="H41" s="52">
        <v>45483</v>
      </c>
      <c r="I41" s="52">
        <v>45848</v>
      </c>
      <c r="J41" s="143" t="e">
        <f t="shared" ca="1" si="1"/>
        <v>#NAME?</v>
      </c>
      <c r="K41" s="189" t="s">
        <v>523</v>
      </c>
      <c r="L41" s="38" t="s">
        <v>524</v>
      </c>
      <c r="M41" s="50" t="s">
        <v>525</v>
      </c>
      <c r="N41" s="50" t="s">
        <v>110</v>
      </c>
      <c r="O41" s="190">
        <v>0</v>
      </c>
      <c r="P41" s="191"/>
    </row>
    <row r="42" spans="1:16" s="43" customFormat="1" ht="41.4">
      <c r="A42" s="165" t="s">
        <v>526</v>
      </c>
      <c r="B42" s="33" t="s">
        <v>527</v>
      </c>
      <c r="C42" s="33" t="s">
        <v>254</v>
      </c>
      <c r="D42" s="33" t="s">
        <v>255</v>
      </c>
      <c r="E42" s="33" t="s">
        <v>528</v>
      </c>
      <c r="F42" s="62">
        <v>242226</v>
      </c>
      <c r="G42" s="62">
        <v>242226</v>
      </c>
      <c r="H42" s="52">
        <v>45518</v>
      </c>
      <c r="I42" s="52">
        <v>45883</v>
      </c>
      <c r="J42" s="143" t="e">
        <f t="shared" ca="1" si="1"/>
        <v>#NAME?</v>
      </c>
      <c r="K42" s="38" t="s">
        <v>529</v>
      </c>
      <c r="L42" s="38" t="s">
        <v>530</v>
      </c>
      <c r="M42" s="38" t="s">
        <v>38</v>
      </c>
      <c r="N42" s="181" t="s">
        <v>26</v>
      </c>
      <c r="O42" s="186">
        <v>0</v>
      </c>
      <c r="P42" s="183"/>
    </row>
    <row r="43" spans="1:16" s="43" customFormat="1" ht="55.2">
      <c r="A43" s="165" t="s">
        <v>531</v>
      </c>
      <c r="B43" s="33" t="s">
        <v>532</v>
      </c>
      <c r="C43" s="33" t="s">
        <v>533</v>
      </c>
      <c r="D43" s="33" t="s">
        <v>534</v>
      </c>
      <c r="E43" s="33" t="s">
        <v>535</v>
      </c>
      <c r="F43" s="62">
        <v>25000</v>
      </c>
      <c r="G43" s="62">
        <v>25000</v>
      </c>
      <c r="H43" s="52">
        <v>45541</v>
      </c>
      <c r="I43" s="52">
        <v>45875</v>
      </c>
      <c r="J43" s="143" t="e">
        <f t="shared" ca="1" si="1"/>
        <v>#NAME?</v>
      </c>
      <c r="K43" s="38"/>
      <c r="L43" s="38"/>
      <c r="M43" s="192" t="s">
        <v>517</v>
      </c>
      <c r="N43" s="193" t="s">
        <v>110</v>
      </c>
      <c r="O43" s="63">
        <v>0</v>
      </c>
      <c r="P43" s="183"/>
    </row>
    <row r="44" spans="1:16" s="43" customFormat="1" ht="27.6">
      <c r="A44" s="165" t="s">
        <v>536</v>
      </c>
      <c r="B44" s="33" t="s">
        <v>537</v>
      </c>
      <c r="C44" s="33" t="s">
        <v>334</v>
      </c>
      <c r="D44" s="33" t="s">
        <v>335</v>
      </c>
      <c r="E44" s="33" t="s">
        <v>336</v>
      </c>
      <c r="F44" s="62">
        <v>73363.38</v>
      </c>
      <c r="G44" s="62">
        <v>73363.38</v>
      </c>
      <c r="H44" s="52">
        <v>45610</v>
      </c>
      <c r="I44" s="52">
        <v>45975</v>
      </c>
      <c r="J44" s="143" t="e">
        <f t="shared" ca="1" si="1"/>
        <v>#NAME?</v>
      </c>
      <c r="K44" s="38" t="s">
        <v>37</v>
      </c>
      <c r="L44" s="38" t="s">
        <v>538</v>
      </c>
      <c r="M44" s="38" t="s">
        <v>38</v>
      </c>
      <c r="N44" s="185" t="s">
        <v>26</v>
      </c>
      <c r="O44" s="177">
        <v>0</v>
      </c>
      <c r="P44" s="183"/>
    </row>
    <row r="45" spans="1:16" s="43" customFormat="1" ht="27.6">
      <c r="A45" s="178" t="s">
        <v>460</v>
      </c>
      <c r="B45" s="134" t="s">
        <v>539</v>
      </c>
      <c r="C45" s="33" t="s">
        <v>540</v>
      </c>
      <c r="D45" s="33"/>
      <c r="E45" s="33" t="s">
        <v>541</v>
      </c>
      <c r="F45" s="62">
        <v>28200</v>
      </c>
      <c r="G45" s="62">
        <v>28200</v>
      </c>
      <c r="H45" s="52"/>
      <c r="I45" s="52"/>
      <c r="J45" s="194" t="e">
        <f t="shared" ca="1" si="1"/>
        <v>#NAME?</v>
      </c>
      <c r="K45" s="38"/>
      <c r="L45" s="153"/>
      <c r="M45" s="50" t="s">
        <v>525</v>
      </c>
      <c r="N45" s="181" t="s">
        <v>26</v>
      </c>
      <c r="O45" s="195">
        <v>0</v>
      </c>
      <c r="P45" s="196"/>
    </row>
    <row r="46" spans="1:16" s="17" customFormat="1" ht="27.6">
      <c r="A46" s="178" t="s">
        <v>466</v>
      </c>
      <c r="B46" s="134" t="s">
        <v>539</v>
      </c>
      <c r="C46" s="33" t="s">
        <v>542</v>
      </c>
      <c r="D46" s="33"/>
      <c r="E46" s="33" t="s">
        <v>543</v>
      </c>
      <c r="F46" s="62">
        <v>159800</v>
      </c>
      <c r="G46" s="62">
        <v>159800</v>
      </c>
      <c r="H46" s="52"/>
      <c r="I46" s="52"/>
      <c r="J46" s="194" t="e">
        <f t="shared" ca="1" si="1"/>
        <v>#NAME?</v>
      </c>
      <c r="K46" s="38"/>
      <c r="L46" s="153"/>
      <c r="M46" s="50" t="s">
        <v>525</v>
      </c>
      <c r="N46" s="181" t="s">
        <v>26</v>
      </c>
      <c r="O46" s="177">
        <v>0</v>
      </c>
      <c r="P46" s="183"/>
    </row>
    <row r="47" spans="1:16" s="17" customFormat="1" ht="62.25" customHeight="1">
      <c r="A47" s="178" t="s">
        <v>472</v>
      </c>
      <c r="B47" s="134" t="s">
        <v>539</v>
      </c>
      <c r="C47" s="33" t="s">
        <v>544</v>
      </c>
      <c r="D47" s="33"/>
      <c r="E47" s="33" t="s">
        <v>545</v>
      </c>
      <c r="F47" s="62">
        <v>508.8</v>
      </c>
      <c r="G47" s="62">
        <v>508.8</v>
      </c>
      <c r="H47" s="52"/>
      <c r="I47" s="52"/>
      <c r="J47" s="194" t="e">
        <f t="shared" ca="1" si="1"/>
        <v>#NAME?</v>
      </c>
      <c r="K47" s="38"/>
      <c r="L47" s="153"/>
      <c r="M47" s="50" t="s">
        <v>525</v>
      </c>
      <c r="N47" s="181" t="s">
        <v>26</v>
      </c>
      <c r="O47" s="177">
        <v>0</v>
      </c>
      <c r="P47" s="183"/>
    </row>
    <row r="48" spans="1:16" s="17" customFormat="1" ht="62.25" customHeight="1">
      <c r="A48" s="178" t="s">
        <v>478</v>
      </c>
      <c r="B48" s="134" t="s">
        <v>539</v>
      </c>
      <c r="C48" s="33" t="s">
        <v>268</v>
      </c>
      <c r="D48" s="33"/>
      <c r="E48" s="33" t="s">
        <v>546</v>
      </c>
      <c r="F48" s="62">
        <v>85000</v>
      </c>
      <c r="G48" s="62">
        <v>85000</v>
      </c>
      <c r="H48" s="52"/>
      <c r="I48" s="52"/>
      <c r="J48" s="194" t="e">
        <f t="shared" ca="1" si="1"/>
        <v>#NAME?</v>
      </c>
      <c r="K48" s="38"/>
      <c r="L48" s="153"/>
      <c r="M48" s="50" t="s">
        <v>525</v>
      </c>
      <c r="N48" s="181" t="s">
        <v>26</v>
      </c>
      <c r="O48" s="177">
        <v>0</v>
      </c>
      <c r="P48" s="183"/>
    </row>
    <row r="49" spans="1:17" s="119" customFormat="1" ht="41.4">
      <c r="A49" s="75" t="s">
        <v>547</v>
      </c>
      <c r="B49" s="75" t="s">
        <v>548</v>
      </c>
      <c r="C49" s="75" t="s">
        <v>549</v>
      </c>
      <c r="D49" s="75" t="s">
        <v>550</v>
      </c>
      <c r="E49" s="75" t="s">
        <v>551</v>
      </c>
      <c r="F49" s="101">
        <v>205000</v>
      </c>
      <c r="G49" s="101">
        <v>205000</v>
      </c>
      <c r="H49" s="93">
        <v>45688</v>
      </c>
      <c r="I49" s="93">
        <v>46053</v>
      </c>
      <c r="J49" s="67" t="e">
        <f t="shared" ca="1" si="1"/>
        <v>#NAME?</v>
      </c>
      <c r="K49" s="38" t="s">
        <v>37</v>
      </c>
      <c r="L49" s="68" t="s">
        <v>552</v>
      </c>
      <c r="M49" s="38" t="s">
        <v>525</v>
      </c>
      <c r="N49" s="38" t="s">
        <v>110</v>
      </c>
      <c r="O49" s="63">
        <v>0</v>
      </c>
      <c r="P49" s="92"/>
    </row>
    <row r="50" spans="1:17" s="17" customFormat="1" ht="41.4">
      <c r="A50" s="75" t="s">
        <v>553</v>
      </c>
      <c r="B50" s="75" t="s">
        <v>554</v>
      </c>
      <c r="C50" s="75" t="s">
        <v>555</v>
      </c>
      <c r="D50" s="75" t="s">
        <v>556</v>
      </c>
      <c r="E50" s="75" t="s">
        <v>557</v>
      </c>
      <c r="F50" s="101">
        <v>30999</v>
      </c>
      <c r="G50" s="101">
        <v>30999</v>
      </c>
      <c r="H50" s="93">
        <v>45688</v>
      </c>
      <c r="I50" s="93">
        <v>46053</v>
      </c>
      <c r="J50" s="67" t="e">
        <f t="shared" ca="1" si="1"/>
        <v>#NAME?</v>
      </c>
      <c r="K50" s="38" t="s">
        <v>37</v>
      </c>
      <c r="L50" s="68" t="s">
        <v>558</v>
      </c>
      <c r="M50" s="50" t="s">
        <v>525</v>
      </c>
      <c r="N50" s="50" t="s">
        <v>110</v>
      </c>
      <c r="O50" s="63">
        <v>0</v>
      </c>
      <c r="P50" s="92"/>
    </row>
    <row r="51" spans="1:17" s="73" customFormat="1" ht="41.4">
      <c r="A51" s="64" t="s">
        <v>559</v>
      </c>
      <c r="B51" s="75" t="s">
        <v>560</v>
      </c>
      <c r="C51" s="75" t="s">
        <v>544</v>
      </c>
      <c r="D51" s="64" t="s">
        <v>561</v>
      </c>
      <c r="E51" s="75" t="s">
        <v>562</v>
      </c>
      <c r="F51" s="65">
        <v>508.8</v>
      </c>
      <c r="G51" s="65">
        <v>508.8</v>
      </c>
      <c r="H51" s="93">
        <v>45688</v>
      </c>
      <c r="I51" s="93">
        <v>46053</v>
      </c>
      <c r="J51" s="67" t="e">
        <f t="shared" ca="1" si="1"/>
        <v>#NAME?</v>
      </c>
      <c r="K51" s="68"/>
      <c r="L51" s="70"/>
      <c r="M51" s="38" t="s">
        <v>525</v>
      </c>
      <c r="N51" s="38" t="s">
        <v>110</v>
      </c>
      <c r="O51" s="63">
        <v>0</v>
      </c>
      <c r="P51" s="94"/>
    </row>
    <row r="52" spans="1:17" s="119" customFormat="1" ht="41.4">
      <c r="A52" s="75" t="s">
        <v>563</v>
      </c>
      <c r="B52" s="75" t="s">
        <v>564</v>
      </c>
      <c r="C52" s="75" t="s">
        <v>565</v>
      </c>
      <c r="D52" s="75" t="s">
        <v>269</v>
      </c>
      <c r="E52" s="75" t="s">
        <v>566</v>
      </c>
      <c r="F52" s="101">
        <v>50000</v>
      </c>
      <c r="G52" s="101">
        <v>50000</v>
      </c>
      <c r="H52" s="93">
        <v>45688</v>
      </c>
      <c r="I52" s="93">
        <v>46053</v>
      </c>
      <c r="J52" s="67" t="e">
        <f t="shared" ca="1" si="1"/>
        <v>#NAME?</v>
      </c>
      <c r="K52" s="68"/>
      <c r="L52" s="68"/>
      <c r="M52" s="38" t="s">
        <v>525</v>
      </c>
      <c r="N52" s="38" t="s">
        <v>110</v>
      </c>
      <c r="O52" s="63">
        <v>0</v>
      </c>
      <c r="P52" s="92"/>
    </row>
    <row r="53" spans="1:17" s="43" customFormat="1" ht="69">
      <c r="A53" s="33" t="s">
        <v>567</v>
      </c>
      <c r="B53" s="75" t="s">
        <v>568</v>
      </c>
      <c r="C53" s="33" t="s">
        <v>286</v>
      </c>
      <c r="D53" s="33" t="s">
        <v>287</v>
      </c>
      <c r="E53" s="33" t="s">
        <v>569</v>
      </c>
      <c r="F53" s="62">
        <v>32730</v>
      </c>
      <c r="G53" s="62">
        <v>32730</v>
      </c>
      <c r="H53" s="52">
        <v>45730</v>
      </c>
      <c r="I53" s="52">
        <v>46095</v>
      </c>
      <c r="J53" s="67" t="e">
        <f t="shared" ca="1" si="1"/>
        <v>#NAME?</v>
      </c>
      <c r="K53" s="38" t="s">
        <v>177</v>
      </c>
      <c r="L53" s="37" t="s">
        <v>570</v>
      </c>
      <c r="M53" s="50" t="s">
        <v>525</v>
      </c>
      <c r="N53" s="50" t="s">
        <v>110</v>
      </c>
      <c r="O53" s="63">
        <v>0</v>
      </c>
      <c r="P53" s="71" t="s">
        <v>27</v>
      </c>
      <c r="Q53" s="57" t="s">
        <v>571</v>
      </c>
    </row>
    <row r="54" spans="1:17" s="73" customFormat="1" ht="27.6">
      <c r="A54" s="64" t="s">
        <v>572</v>
      </c>
      <c r="B54" s="64" t="s">
        <v>341</v>
      </c>
      <c r="C54" s="74" t="s">
        <v>338</v>
      </c>
      <c r="D54" s="64" t="s">
        <v>339</v>
      </c>
      <c r="E54" s="64" t="s">
        <v>340</v>
      </c>
      <c r="F54" s="65">
        <v>5060</v>
      </c>
      <c r="G54" s="65">
        <v>5060</v>
      </c>
      <c r="H54" s="66">
        <v>45761</v>
      </c>
      <c r="I54" s="66">
        <v>46126</v>
      </c>
      <c r="J54" s="67" t="e">
        <f t="shared" ca="1" si="1"/>
        <v>#NAME?</v>
      </c>
      <c r="K54" s="68" t="s">
        <v>457</v>
      </c>
      <c r="L54" s="68" t="s">
        <v>573</v>
      </c>
      <c r="M54" s="68" t="s">
        <v>38</v>
      </c>
      <c r="N54" s="50" t="s">
        <v>110</v>
      </c>
      <c r="O54" s="63">
        <v>0</v>
      </c>
      <c r="P54" s="71" t="s">
        <v>27</v>
      </c>
      <c r="Q54" s="72" t="s">
        <v>574</v>
      </c>
    </row>
  </sheetData>
  <mergeCells count="13">
    <mergeCell ref="N1:N2"/>
    <mergeCell ref="O1:O2"/>
    <mergeCell ref="P1:P2"/>
    <mergeCell ref="F1:G1"/>
    <mergeCell ref="H1:J1"/>
    <mergeCell ref="K1:K2"/>
    <mergeCell ref="L1:L2"/>
    <mergeCell ref="M1:M2"/>
    <mergeCell ref="A1:A2"/>
    <mergeCell ref="B1:B2"/>
    <mergeCell ref="C1:C2"/>
    <mergeCell ref="D1:D2"/>
    <mergeCell ref="E1:E2"/>
  </mergeCells>
  <conditionalFormatting sqref="J54">
    <cfRule type="cellIs" dxfId="77" priority="2" operator="lessThan">
      <formula>30</formula>
    </cfRule>
    <cfRule type="cellIs" dxfId="76" priority="3" operator="between">
      <formula>30</formula>
      <formula>90</formula>
    </cfRule>
    <cfRule type="cellIs" dxfId="75" priority="4" operator="greaterThan">
      <formula>90</formula>
    </cfRule>
  </conditionalFormatting>
  <conditionalFormatting sqref="J53">
    <cfRule type="cellIs" dxfId="74" priority="5" operator="lessThan">
      <formula>30</formula>
    </cfRule>
    <cfRule type="cellIs" dxfId="73" priority="6" operator="between">
      <formula>30</formula>
      <formula>90</formula>
    </cfRule>
    <cfRule type="cellIs" dxfId="72" priority="7" operator="greaterThan">
      <formula>90</formula>
    </cfRule>
  </conditionalFormatting>
  <conditionalFormatting sqref="J49:J52">
    <cfRule type="cellIs" dxfId="71" priority="8" operator="lessThan">
      <formula>30</formula>
    </cfRule>
    <cfRule type="cellIs" dxfId="70" priority="9" operator="between">
      <formula>30</formula>
      <formula>90</formula>
    </cfRule>
    <cfRule type="cellIs" dxfId="69" priority="10" operator="greaterThan">
      <formula>90</formula>
    </cfRule>
  </conditionalFormatting>
  <conditionalFormatting sqref="J44">
    <cfRule type="cellIs" dxfId="68" priority="11" operator="lessThan">
      <formula>30</formula>
    </cfRule>
    <cfRule type="cellIs" dxfId="67" priority="12" operator="between">
      <formula>30</formula>
      <formula>90</formula>
    </cfRule>
    <cfRule type="cellIs" dxfId="66" priority="13" operator="greaterThan">
      <formula>90</formula>
    </cfRule>
  </conditionalFormatting>
  <conditionalFormatting sqref="J7">
    <cfRule type="cellIs" dxfId="65" priority="14" operator="lessThan">
      <formula>30</formula>
    </cfRule>
    <cfRule type="cellIs" dxfId="64" priority="15" operator="between">
      <formula>30</formula>
      <formula>90</formula>
    </cfRule>
    <cfRule type="cellIs" dxfId="63" priority="16" operator="greaterThan">
      <formula>90</formula>
    </cfRule>
  </conditionalFormatting>
  <conditionalFormatting sqref="J8">
    <cfRule type="cellIs" dxfId="62" priority="17" operator="lessThan">
      <formula>30</formula>
    </cfRule>
    <cfRule type="cellIs" dxfId="61" priority="18" operator="between">
      <formula>30</formula>
      <formula>90</formula>
    </cfRule>
    <cfRule type="cellIs" dxfId="60" priority="19" operator="greaterThan">
      <formula>90</formula>
    </cfRule>
  </conditionalFormatting>
  <conditionalFormatting sqref="J42">
    <cfRule type="cellIs" dxfId="59" priority="20" operator="lessThan">
      <formula>30</formula>
    </cfRule>
    <cfRule type="cellIs" dxfId="58" priority="21" operator="between">
      <formula>30</formula>
      <formula>90</formula>
    </cfRule>
    <cfRule type="cellIs" dxfId="57" priority="22" operator="greaterThan">
      <formula>90</formula>
    </cfRule>
  </conditionalFormatting>
  <conditionalFormatting sqref="J43">
    <cfRule type="cellIs" dxfId="56" priority="23" operator="lessThan">
      <formula>30</formula>
    </cfRule>
    <cfRule type="cellIs" dxfId="55" priority="24" operator="between">
      <formula>30</formula>
      <formula>90</formula>
    </cfRule>
    <cfRule type="cellIs" dxfId="54" priority="25" operator="greaterThan">
      <formula>90</formula>
    </cfRule>
  </conditionalFormatting>
  <conditionalFormatting sqref="J40:J41">
    <cfRule type="cellIs" dxfId="53" priority="26" operator="lessThan">
      <formula>30</formula>
    </cfRule>
    <cfRule type="cellIs" dxfId="52" priority="27" operator="between">
      <formula>30</formula>
      <formula>90</formula>
    </cfRule>
    <cfRule type="cellIs" dxfId="51" priority="28" operator="greaterThan">
      <formula>90</formula>
    </cfRule>
  </conditionalFormatting>
  <conditionalFormatting sqref="J39">
    <cfRule type="cellIs" dxfId="50" priority="29" operator="lessThan">
      <formula>30</formula>
    </cfRule>
    <cfRule type="cellIs" dxfId="49" priority="30" operator="between">
      <formula>30</formula>
      <formula>90</formula>
    </cfRule>
    <cfRule type="cellIs" dxfId="48" priority="31" operator="greaterThan">
      <formula>90</formula>
    </cfRule>
  </conditionalFormatting>
  <conditionalFormatting sqref="J34">
    <cfRule type="cellIs" dxfId="47" priority="32" operator="lessThan">
      <formula>30</formula>
    </cfRule>
    <cfRule type="cellIs" dxfId="46" priority="33" operator="between">
      <formula>30</formula>
      <formula>90</formula>
    </cfRule>
    <cfRule type="cellIs" dxfId="45" priority="34" operator="greaterThan">
      <formula>90</formula>
    </cfRule>
  </conditionalFormatting>
  <conditionalFormatting sqref="J32">
    <cfRule type="cellIs" dxfId="44" priority="35" operator="lessThan">
      <formula>30</formula>
    </cfRule>
    <cfRule type="cellIs" dxfId="43" priority="36" operator="between">
      <formula>30</formula>
      <formula>90</formula>
    </cfRule>
    <cfRule type="cellIs" dxfId="42" priority="37" operator="greaterThan">
      <formula>90</formula>
    </cfRule>
  </conditionalFormatting>
  <conditionalFormatting sqref="J37">
    <cfRule type="cellIs" dxfId="41" priority="38" operator="lessThan">
      <formula>30</formula>
    </cfRule>
    <cfRule type="cellIs" dxfId="40" priority="39" operator="between">
      <formula>30</formula>
      <formula>90</formula>
    </cfRule>
    <cfRule type="cellIs" dxfId="39" priority="40" operator="greaterThan">
      <formula>90</formula>
    </cfRule>
  </conditionalFormatting>
  <conditionalFormatting sqref="J38">
    <cfRule type="cellIs" dxfId="38" priority="41" operator="lessThan">
      <formula>30</formula>
    </cfRule>
    <cfRule type="cellIs" dxfId="37" priority="42" operator="between">
      <formula>30</formula>
      <formula>90</formula>
    </cfRule>
    <cfRule type="cellIs" dxfId="36" priority="43" operator="greaterThan">
      <formula>90</formula>
    </cfRule>
  </conditionalFormatting>
  <conditionalFormatting sqref="J33">
    <cfRule type="cellIs" dxfId="35" priority="44" operator="lessThan">
      <formula>30</formula>
    </cfRule>
    <cfRule type="cellIs" dxfId="34" priority="45" operator="between">
      <formula>30</formula>
      <formula>90</formula>
    </cfRule>
    <cfRule type="cellIs" dxfId="33" priority="46" operator="greaterThan">
      <formula>90</formula>
    </cfRule>
  </conditionalFormatting>
  <conditionalFormatting sqref="J29">
    <cfRule type="cellIs" dxfId="32" priority="47" operator="lessThan">
      <formula>30</formula>
    </cfRule>
    <cfRule type="cellIs" dxfId="31" priority="48" operator="between">
      <formula>30</formula>
      <formula>90</formula>
    </cfRule>
    <cfRule type="cellIs" dxfId="30" priority="49" operator="greaterThan">
      <formula>90</formula>
    </cfRule>
  </conditionalFormatting>
  <conditionalFormatting sqref="J35">
    <cfRule type="cellIs" dxfId="29" priority="50" operator="lessThan">
      <formula>30</formula>
    </cfRule>
    <cfRule type="cellIs" dxfId="28" priority="51" operator="between">
      <formula>30</formula>
      <formula>90</formula>
    </cfRule>
    <cfRule type="cellIs" dxfId="27" priority="52" operator="greaterThan">
      <formula>90</formula>
    </cfRule>
  </conditionalFormatting>
  <conditionalFormatting sqref="J30">
    <cfRule type="cellIs" dxfId="26" priority="53" operator="lessThan">
      <formula>30</formula>
    </cfRule>
    <cfRule type="cellIs" dxfId="25" priority="54" operator="between">
      <formula>30</formula>
      <formula>90</formula>
    </cfRule>
    <cfRule type="cellIs" dxfId="24" priority="55" operator="greaterThan">
      <formula>90</formula>
    </cfRule>
  </conditionalFormatting>
  <conditionalFormatting sqref="J48">
    <cfRule type="cellIs" dxfId="23" priority="56" operator="lessThan">
      <formula>30</formula>
    </cfRule>
    <cfRule type="cellIs" dxfId="22" priority="57" operator="between">
      <formula>30</formula>
      <formula>90</formula>
    </cfRule>
    <cfRule type="cellIs" dxfId="21" priority="58" operator="greaterThan">
      <formula>90</formula>
    </cfRule>
  </conditionalFormatting>
  <conditionalFormatting sqref="J47">
    <cfRule type="cellIs" dxfId="20" priority="59" operator="lessThan">
      <formula>30</formula>
    </cfRule>
    <cfRule type="cellIs" dxfId="19" priority="60" operator="between">
      <formula>30</formula>
      <formula>90</formula>
    </cfRule>
    <cfRule type="cellIs" dxfId="18" priority="61" operator="greaterThan">
      <formula>90</formula>
    </cfRule>
  </conditionalFormatting>
  <conditionalFormatting sqref="J46">
    <cfRule type="cellIs" dxfId="17" priority="62" operator="lessThan">
      <formula>30</formula>
    </cfRule>
    <cfRule type="cellIs" dxfId="16" priority="63" operator="between">
      <formula>30</formula>
      <formula>90</formula>
    </cfRule>
    <cfRule type="cellIs" dxfId="15" priority="64" operator="greaterThan">
      <formula>90</formula>
    </cfRule>
  </conditionalFormatting>
  <conditionalFormatting sqref="J45">
    <cfRule type="cellIs" dxfId="14" priority="65" operator="lessThan">
      <formula>30</formula>
    </cfRule>
    <cfRule type="cellIs" dxfId="13" priority="66" operator="between">
      <formula>30</formula>
      <formula>90</formula>
    </cfRule>
    <cfRule type="cellIs" dxfId="12" priority="67" operator="greaterThan">
      <formula>90</formula>
    </cfRule>
  </conditionalFormatting>
  <conditionalFormatting sqref="J36">
    <cfRule type="cellIs" dxfId="11" priority="68" operator="lessThan">
      <formula>30</formula>
    </cfRule>
    <cfRule type="cellIs" dxfId="10" priority="69" operator="between">
      <formula>30</formula>
      <formula>90</formula>
    </cfRule>
    <cfRule type="cellIs" dxfId="9" priority="70" operator="greaterThan">
      <formula>90</formula>
    </cfRule>
  </conditionalFormatting>
  <conditionalFormatting sqref="J31">
    <cfRule type="cellIs" dxfId="8" priority="71" operator="lessThan">
      <formula>30</formula>
    </cfRule>
    <cfRule type="cellIs" dxfId="7" priority="72" operator="between">
      <formula>30</formula>
      <formula>90</formula>
    </cfRule>
    <cfRule type="cellIs" dxfId="6" priority="73" operator="greaterThan">
      <formula>90</formula>
    </cfRule>
  </conditionalFormatting>
  <conditionalFormatting sqref="J27:J28">
    <cfRule type="cellIs" dxfId="5" priority="74" operator="lessThan">
      <formula>30</formula>
    </cfRule>
    <cfRule type="cellIs" dxfId="4" priority="75" operator="between">
      <formula>30</formula>
      <formula>90</formula>
    </cfRule>
    <cfRule type="cellIs" dxfId="3" priority="76" operator="greaterThan">
      <formula>90</formula>
    </cfRule>
  </conditionalFormatting>
  <conditionalFormatting sqref="J3:J6 J9:J26">
    <cfRule type="cellIs" dxfId="2" priority="77" operator="lessThan">
      <formula>30</formula>
    </cfRule>
    <cfRule type="cellIs" dxfId="1" priority="78" operator="between">
      <formula>30</formula>
      <formula>90</formula>
    </cfRule>
    <cfRule type="cellIs" dxfId="0" priority="79" operator="greaterThan">
      <formula>90</formula>
    </cfRule>
  </conditionalFormatting>
  <hyperlinks>
    <hyperlink ref="Q53" r:id="rId1"/>
    <hyperlink ref="Q54" r:id="rId2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CONTRATOS</vt:lpstr>
      <vt:lpstr>NE</vt:lpstr>
      <vt:lpstr>PARCERIAS</vt:lpstr>
      <vt:lpstr>ATAS</vt:lpstr>
      <vt:lpstr>CONTRATOS_ENCERRADOS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Marcia Rodrigues de Almeida</dc:creator>
  <dc:description/>
  <cp:lastModifiedBy>Fabricio Ferreira</cp:lastModifiedBy>
  <cp:revision>42</cp:revision>
  <cp:lastPrinted>2025-11-24T16:54:21Z</cp:lastPrinted>
  <dcterms:created xsi:type="dcterms:W3CDTF">2022-05-18T12:18:08Z</dcterms:created>
  <dcterms:modified xsi:type="dcterms:W3CDTF">2026-05-03T12:55:49Z</dcterms:modified>
  <dc:language>en-US</dc:language>
</cp:coreProperties>
</file>