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2026" sheetId="1" r:id="rId5"/>
    <sheet state="visible" name="Fevereiro2026" sheetId="2" r:id="rId6"/>
    <sheet state="visible" name="Março2026" sheetId="3" r:id="rId7"/>
    <sheet state="visible" name="CONTRATOS 2026" sheetId="4" r:id="rId8"/>
    <sheet state="visible" name="Estagiários - Business " sheetId="5" r:id="rId9"/>
    <sheet state="visible" name="Vale alimentação - Pluxee" sheetId="6" r:id="rId10"/>
    <sheet state="visible" name="CESSÃO UFPA" sheetId="7" r:id="rId11"/>
    <sheet state="visible" name="Xerfan - Mulatas (saldo)" sheetId="8" r:id="rId12"/>
  </sheets>
  <definedNames/>
  <calcPr/>
</workbook>
</file>

<file path=xl/sharedStrings.xml><?xml version="1.0" encoding="utf-8"?>
<sst xmlns="http://schemas.openxmlformats.org/spreadsheetml/2006/main" count="1122" uniqueCount="368">
  <si>
    <t xml:space="preserve"> </t>
  </si>
  <si>
    <t>CONTRATO</t>
  </si>
  <si>
    <t>EMPRESA</t>
  </si>
  <si>
    <t>Processo  ORIGINAL do GDOC</t>
  </si>
  <si>
    <t>Processo do pagamento</t>
  </si>
  <si>
    <t>OBJETO DO CONTRATO</t>
  </si>
  <si>
    <t>VIGÊNCIA</t>
  </si>
  <si>
    <t>VALOR EMPENHADO</t>
  </si>
  <si>
    <t>EMPENHO</t>
  </si>
  <si>
    <t>VALOR LIQUIDADO</t>
  </si>
  <si>
    <t>LIQUIDAÇÃO</t>
  </si>
  <si>
    <t>PAGO</t>
  </si>
  <si>
    <t>CONFORMIDADE</t>
  </si>
  <si>
    <t>04/2022 - 2° TA</t>
  </si>
  <si>
    <t>3I COMÉRCIO E SERVIÇOS</t>
  </si>
  <si>
    <t>105/2022</t>
  </si>
  <si>
    <t>MANUTENÇÃO PREVENTIVA E CORRETIVA DE AR CONDICIONADO</t>
  </si>
  <si>
    <t>20/06/2022 a 20/06/2025</t>
  </si>
  <si>
    <t>NE 66</t>
  </si>
  <si>
    <t>15/2025</t>
  </si>
  <si>
    <t>LOCDESK</t>
  </si>
  <si>
    <t>1336/2025</t>
  </si>
  <si>
    <t>SERVIÇOS DE REPROGRAFIA</t>
  </si>
  <si>
    <t>06/11/2025 a 06/11/2026</t>
  </si>
  <si>
    <t>NE 70</t>
  </si>
  <si>
    <t>NL 01</t>
  </si>
  <si>
    <t>Ok</t>
  </si>
  <si>
    <t>06/2023 - 1° TA</t>
  </si>
  <si>
    <t>NORTE TURISMO</t>
  </si>
  <si>
    <t>93/2023</t>
  </si>
  <si>
    <t>93/2025</t>
  </si>
  <si>
    <t>AG. PASSAGEM AÉREA, ROD. FLUVIAL</t>
  </si>
  <si>
    <t>24/03/2023 a 23/03/2025</t>
  </si>
  <si>
    <t>NE 67</t>
  </si>
  <si>
    <t>07/2023 - 1° TA</t>
  </si>
  <si>
    <t>M. C. XERFAN (MULATAS)</t>
  </si>
  <si>
    <t>250/2023</t>
  </si>
  <si>
    <t>SERVIÇOS DE FORNECIMENTO DE ALIMENTAÇÃO</t>
  </si>
  <si>
    <t>26/05/2023 a 26/05/2025</t>
  </si>
  <si>
    <t>falta quantidade a ser empenhada</t>
  </si>
  <si>
    <t>19/2025</t>
  </si>
  <si>
    <t>PONTES COMERCIO</t>
  </si>
  <si>
    <t>943/2025</t>
  </si>
  <si>
    <t>serviços de locação de veículo PARA ATENDER A SEGEP</t>
  </si>
  <si>
    <t>26/11/2025 a 27/11/2026</t>
  </si>
  <si>
    <t>13/2023 - 1° TA</t>
  </si>
  <si>
    <t>NC COMÉRCIO SERVIÇOS</t>
  </si>
  <si>
    <t>150/2023</t>
  </si>
  <si>
    <t>108/2025</t>
  </si>
  <si>
    <t>SERVIÇOS DE LOCAÇÃO DE VEÍCULOS AUTOMOTORES</t>
  </si>
  <si>
    <t>30/06/2023 a 30/06/2025</t>
  </si>
  <si>
    <t>NE 69</t>
  </si>
  <si>
    <t>ok</t>
  </si>
  <si>
    <t>14/2025</t>
  </si>
  <si>
    <t xml:space="preserve">BELÉM RIO </t>
  </si>
  <si>
    <t>1279/2025</t>
  </si>
  <si>
    <t>Prestação de serviços de vigilância patrimonial armada e desarmada</t>
  </si>
  <si>
    <t>28/10/2025 s 28/10/2026</t>
  </si>
  <si>
    <t>NE 65</t>
  </si>
  <si>
    <t xml:space="preserve">VIDA COMERCIO </t>
  </si>
  <si>
    <t>373/2025</t>
  </si>
  <si>
    <t xml:space="preserve">AQUISIÇÃO DE GARRAFÕES DE ÁGUA MINERAL </t>
  </si>
  <si>
    <t>11/04/2025 a 10/04/2026</t>
  </si>
  <si>
    <t>NE 59</t>
  </si>
  <si>
    <t>EXTRA DISTRIBUIDORA</t>
  </si>
  <si>
    <t>366/2025</t>
  </si>
  <si>
    <t>AQUISIÇÃO DE ÁGUA MINERAL, SEM GÁS EM COPO DE 200 ml</t>
  </si>
  <si>
    <t>16/04/2025 a 15/04/2026</t>
  </si>
  <si>
    <t>NE 63</t>
  </si>
  <si>
    <t>Y M GORAYEB SANTOS</t>
  </si>
  <si>
    <t>450/2025</t>
  </si>
  <si>
    <t>RECARGA DE GÁS LIQUEFEITO DE
PETRÓLEO (GLP) BOTIJÃO 13 KG.</t>
  </si>
  <si>
    <t>25/04/2025 a 24/04/2026</t>
  </si>
  <si>
    <t>NE 62</t>
  </si>
  <si>
    <t>15/2023 - 1° TA</t>
  </si>
  <si>
    <t>CLARO S.A</t>
  </si>
  <si>
    <t>430/2023</t>
  </si>
  <si>
    <t>105/2025</t>
  </si>
  <si>
    <t>SERVIÇO DE LINK DE INTERNET DEDICADO</t>
  </si>
  <si>
    <t>30/08/2023 a 30/08/2025</t>
  </si>
  <si>
    <t>NE 60</t>
  </si>
  <si>
    <t>NL 03</t>
  </si>
  <si>
    <t>14/2024</t>
  </si>
  <si>
    <t xml:space="preserve">IMPRENSA NACIONAL </t>
  </si>
  <si>
    <t>63/2026</t>
  </si>
  <si>
    <t>Serviços de publicação de avisos de licitações no Diário Oficial da União
(DOU), com a finalidade de atender às necessidades da SEGEP</t>
  </si>
  <si>
    <t>25/06/2024 a 25/06/2025</t>
  </si>
  <si>
    <t>NE 247</t>
  </si>
  <si>
    <t>-</t>
  </si>
  <si>
    <t>Sem contrato</t>
  </si>
  <si>
    <t>UFPA</t>
  </si>
  <si>
    <t>700/2026</t>
  </si>
  <si>
    <t>Sem contrato - servidor cedido da UFPA para a SEGEP</t>
  </si>
  <si>
    <t>Sem vigência</t>
  </si>
  <si>
    <t>NE 146</t>
  </si>
  <si>
    <t xml:space="preserve">COSTA E PAES </t>
  </si>
  <si>
    <t>744/2025</t>
  </si>
  <si>
    <t>PUBLICAÇÕES DE MATÉRIAS - CGL</t>
  </si>
  <si>
    <t>12/08/2025 a 12/08/2026</t>
  </si>
  <si>
    <t>NE 61</t>
  </si>
  <si>
    <t>18/2024</t>
  </si>
  <si>
    <t>BANCO DO BRASIL</t>
  </si>
  <si>
    <t>417/2024</t>
  </si>
  <si>
    <t>1124/2025</t>
  </si>
  <si>
    <t>SERVIÇOS DE PAGAMENTO A FORNECEDORES DE BENS E SERVIÇOS E DE SERVIDORES DA SEGEP A SEREM PROCESSADOS PELO SISTEMA OBN</t>
  </si>
  <si>
    <t>03/10/2024 a 03/10/2025</t>
  </si>
  <si>
    <t>NE 71</t>
  </si>
  <si>
    <t>22/2025</t>
  </si>
  <si>
    <t>EQUATORIAL</t>
  </si>
  <si>
    <t>486/2025</t>
  </si>
  <si>
    <t>ENERGIA ELÉTRICA DO ÓRGÃO</t>
  </si>
  <si>
    <t>01/01/2025 a 31/12/2025</t>
  </si>
  <si>
    <t>23/2025</t>
  </si>
  <si>
    <t>COSANPA</t>
  </si>
  <si>
    <t>485/2025</t>
  </si>
  <si>
    <t>ÁGUA E ESGOTO DO ÓRGÃO</t>
  </si>
  <si>
    <t>NL 02</t>
  </si>
  <si>
    <t>sim</t>
  </si>
  <si>
    <t>falta criação de tarefa</t>
  </si>
  <si>
    <t>NE 178</t>
  </si>
  <si>
    <t>SPLIT SERVICE</t>
  </si>
  <si>
    <t>740/2025</t>
  </si>
  <si>
    <t>AQUISIÇÃO DE APARELHOS DE AR CONDICIONADO</t>
  </si>
  <si>
    <t>NE 181</t>
  </si>
  <si>
    <t>não</t>
  </si>
  <si>
    <t>NE 82</t>
  </si>
  <si>
    <t>PRM</t>
  </si>
  <si>
    <t>1282/2025</t>
  </si>
  <si>
    <t>Aquisição e instalação de maquinários, destinados ao uso nas quatro Unidades de Valorização de Recicláveis (UVRs), com o objetivo de modernizar, otimizar e aumentar a
eficiência dos processos de triagem e beneficiamento de resíduos recicláveis sólidos, conforme especificações técnicas estabelecidas no Plano de Gestão do Projeto vinculado ao Convênio nº 4500075171, celebrado com a ITAIPU Binacional</t>
  </si>
  <si>
    <t>NE 149</t>
  </si>
  <si>
    <t xml:space="preserve">
NL 01
</t>
  </si>
  <si>
    <t>Sim</t>
  </si>
  <si>
    <t>COVEZI</t>
  </si>
  <si>
    <t>749/2025</t>
  </si>
  <si>
    <t>Aquisição de veículos destinados à coleta seletiva de materiais recicláveis, para atendimento do Convênio nº 4500075171, firmado com a ITAIPU Binacional</t>
  </si>
  <si>
    <t>NE 151</t>
  </si>
  <si>
    <t>16/2025</t>
  </si>
  <si>
    <t xml:space="preserve">IURI RIBEIRO </t>
  </si>
  <si>
    <t>1349/2025</t>
  </si>
  <si>
    <t>PRENSA HIDRÁULICA VERTICAL CARRO DE MOVIMENTAÇÃO DE FARDOS</t>
  </si>
  <si>
    <t>NE 152</t>
  </si>
  <si>
    <t>B.D.R. COMÉRCIO DE EQUIPAMENTOS LTDA</t>
  </si>
  <si>
    <t>1354/2025</t>
  </si>
  <si>
    <t>BALANÇA DIGITAL COM RAMPA</t>
  </si>
  <si>
    <t>NE  153</t>
  </si>
  <si>
    <t xml:space="preserve">FEP SILVANA </t>
  </si>
  <si>
    <t>961/2025</t>
  </si>
  <si>
    <t xml:space="preserve">IGEPREV TOCANTINS </t>
  </si>
  <si>
    <t>40/2026</t>
  </si>
  <si>
    <t>PATRONAL DO SERVIDOR IGEPREV TO</t>
  </si>
  <si>
    <t>NP TECNOLOGIA E GESTAO DE DADOS LTDA</t>
  </si>
  <si>
    <t>287/2026</t>
  </si>
  <si>
    <t xml:space="preserve"> Serviços de disponibilização de 3 senhas de acessos à ferramenta de pesquisa
e comparação de preços praticados pela Administração Pública</t>
  </si>
  <si>
    <t>NE 249</t>
  </si>
  <si>
    <t>INSTITUTO AQUILA DE GESTAO LTDA</t>
  </si>
  <si>
    <t>1470/2025</t>
  </si>
  <si>
    <t>Serviços de consultoria/auditoria técnica destinados ao aprimoramento dos processos de gestão administrativa</t>
  </si>
  <si>
    <t>NE 182</t>
  </si>
  <si>
    <t>203/2026</t>
  </si>
  <si>
    <t>AGUAS DO PARÁ</t>
  </si>
  <si>
    <t>884/2026</t>
  </si>
  <si>
    <t>CONTRATOS DE 2026</t>
  </si>
  <si>
    <t>VALOR DO CONTRATO</t>
  </si>
  <si>
    <t>SALDO</t>
  </si>
  <si>
    <t>12/06/2025 a 11/06/2026</t>
  </si>
  <si>
    <t>24/03/2026 a 24/03/2027</t>
  </si>
  <si>
    <t>26/05/2025 a 26/05/2026</t>
  </si>
  <si>
    <t>PONTES SERVICE</t>
  </si>
  <si>
    <t>Serviços de locação de veículos, visando atender as necessidades da SEGEP</t>
  </si>
  <si>
    <t>26/11/2025 a 26/11/2026</t>
  </si>
  <si>
    <t>BELEM RIO SEGURANCA LTDA</t>
  </si>
  <si>
    <t>25/04/2025 a 25/04/2026</t>
  </si>
  <si>
    <t>30/08/2025 a 30/08/2026</t>
  </si>
  <si>
    <t>Inexigibilidade</t>
  </si>
  <si>
    <t xml:space="preserve">JULIAN GRAZIANO SARTORETTO LTDA - PAVIFENIX
</t>
  </si>
  <si>
    <t>813/2025</t>
  </si>
  <si>
    <t>RESTAURAÇÃO ASFÁLTICA, RECAPEAMENTO E MANUTENÇÃO
COM REMENDO PROFUNDO, em cerca de 40 ruas de atuação do PROMMAF em torno do Igarapé MATA FOME</t>
  </si>
  <si>
    <t>28/07/2025 a 28/07/2026</t>
  </si>
  <si>
    <t>20/2025</t>
  </si>
  <si>
    <t>BAUHAUS PROJECT MANAGER LTDA</t>
  </si>
  <si>
    <t>1232/2025</t>
  </si>
  <si>
    <t>CONTRATAÇÃO DE OBRAS E SERVIÇOS DE ENGENHARIA PARA A EXECUÇÃO DOS SERVIÇOS DE PAVIMENTAÇÃO ASFÁLTICA EM UMA EXTENSÃO DE 10 KM, INCLUINDO SERVIÇOS COMPLETOS DE TERRAPLANAGEM, DRENAGEM PLUVIAL(ADESÃO A ATA).</t>
  </si>
  <si>
    <t>04/12/2025 a 04/12/2026</t>
  </si>
  <si>
    <t>23/03/2026 a 27/03/2027</t>
  </si>
  <si>
    <t>27/02/2026 a 27/05/2027</t>
  </si>
  <si>
    <t>COVEZI CAMINHÕES E ÔNIBUS LTDA</t>
  </si>
  <si>
    <t>17/10/2025 a 17/10/2026</t>
  </si>
  <si>
    <t>17/2025</t>
  </si>
  <si>
    <t>25/11/2025 a 25/11/2026</t>
  </si>
  <si>
    <t>DESPESAS COM DE PESSOAL</t>
  </si>
  <si>
    <t>VALOR ANUAL APROXIMADO</t>
  </si>
  <si>
    <t>PESSOAL</t>
  </si>
  <si>
    <t>Folha extraordinária de pgto</t>
  </si>
  <si>
    <t>CONTRATOS CORPORATIVOS DE 2026</t>
  </si>
  <si>
    <t>24/2023 - SEMAD</t>
  </si>
  <si>
    <t>Business Soluções Corporativas Ltda</t>
  </si>
  <si>
    <t>Prestação de serviços como Agente de Integração para o Programa de Estágio</t>
  </si>
  <si>
    <t>18/11/2025 a 17/11/2025</t>
  </si>
  <si>
    <t>28/2022 - SEMAD</t>
  </si>
  <si>
    <t>TICKETLOG</t>
  </si>
  <si>
    <t>BUSINESS SOLUÇÕES CORPORATIVAS - DIRETAS - JANEIRO</t>
  </si>
  <si>
    <t>INDIRETAS - JANEIRO</t>
  </si>
  <si>
    <t>JÁ RETORNOU AO ÓRGÃO?</t>
  </si>
  <si>
    <t>PROCESSO</t>
  </si>
  <si>
    <t>ÓRGÃO</t>
  </si>
  <si>
    <t>MÊS</t>
  </si>
  <si>
    <t>VALOR</t>
  </si>
  <si>
    <t>PAGO?</t>
  </si>
  <si>
    <t>CONFORMIDADE?</t>
  </si>
  <si>
    <t>VALOR EMP.</t>
  </si>
  <si>
    <t>VALOR LIQ.</t>
  </si>
  <si>
    <t>101/2026</t>
  </si>
  <si>
    <t>SEMCULT</t>
  </si>
  <si>
    <t>NE 68</t>
  </si>
  <si>
    <t>03 E 04</t>
  </si>
  <si>
    <t>SIM</t>
  </si>
  <si>
    <t>ARBEL</t>
  </si>
  <si>
    <t>R$ 31.200,00</t>
  </si>
  <si>
    <t>NE 79</t>
  </si>
  <si>
    <t>R$ 939,97</t>
  </si>
  <si>
    <t>FUNPAPA</t>
  </si>
  <si>
    <t>01 E 02</t>
  </si>
  <si>
    <t>R$ 179,74</t>
  </si>
  <si>
    <t>GAB. DO PREFEITO</t>
  </si>
  <si>
    <t>05 E 06</t>
  </si>
  <si>
    <t>BELEM DIGITAL</t>
  </si>
  <si>
    <t>R$ 10.000,00</t>
  </si>
  <si>
    <t>NE 77</t>
  </si>
  <si>
    <t>R$ 5.748,13</t>
  </si>
  <si>
    <t>GMB</t>
  </si>
  <si>
    <t>07 E 08</t>
  </si>
  <si>
    <t>R$ 629,09</t>
  </si>
  <si>
    <t>PROMABEN</t>
  </si>
  <si>
    <t>09 E 10</t>
  </si>
  <si>
    <t>CODEM</t>
  </si>
  <si>
    <t>NE 72</t>
  </si>
  <si>
    <t>SEFIN</t>
  </si>
  <si>
    <t>11 E 12</t>
  </si>
  <si>
    <t>SEHAB</t>
  </si>
  <si>
    <t>13, 14 e 31</t>
  </si>
  <si>
    <t>IASB</t>
  </si>
  <si>
    <t>NE 76</t>
  </si>
  <si>
    <t>SEMEL</t>
  </si>
  <si>
    <t>15 E 16</t>
  </si>
  <si>
    <t>SEGOV</t>
  </si>
  <si>
    <t>17 E 18</t>
  </si>
  <si>
    <t>BELEMPREV</t>
  </si>
  <si>
    <t>NE 73</t>
  </si>
  <si>
    <t>SEMMA</t>
  </si>
  <si>
    <t>19 E 20</t>
  </si>
  <si>
    <t>SEZEL</t>
  </si>
  <si>
    <t>21 E 22</t>
  </si>
  <si>
    <t>SEMEC</t>
  </si>
  <si>
    <t>R$ 2.700.000,00</t>
  </si>
  <si>
    <t>NL 78</t>
  </si>
  <si>
    <t>R$ 148,126,23</t>
  </si>
  <si>
    <t xml:space="preserve">SIM </t>
  </si>
  <si>
    <t>SEINFRA</t>
  </si>
  <si>
    <t>23 E 24</t>
  </si>
  <si>
    <t>R$ 31.993,72</t>
  </si>
  <si>
    <t>SEDCON</t>
  </si>
  <si>
    <t>25 E 26</t>
  </si>
  <si>
    <t>SEGBEL</t>
  </si>
  <si>
    <t>NE 74</t>
  </si>
  <si>
    <t>SECOM</t>
  </si>
  <si>
    <t>27 E 28</t>
  </si>
  <si>
    <t>SEMIAC</t>
  </si>
  <si>
    <t>29 E 30</t>
  </si>
  <si>
    <t xml:space="preserve">SESMA </t>
  </si>
  <si>
    <t>NE 75</t>
  </si>
  <si>
    <t>TOTAL</t>
  </si>
  <si>
    <t>BUSINESS SOLUÇÕES CORPORATIVAS - DIRETAS - FEVEREIRO</t>
  </si>
  <si>
    <t>INDIRETAS - FEVEREIRO</t>
  </si>
  <si>
    <t>472/2026</t>
  </si>
  <si>
    <t>32 e 33</t>
  </si>
  <si>
    <t>34 e 35</t>
  </si>
  <si>
    <t>NL 04</t>
  </si>
  <si>
    <t>36 e 37</t>
  </si>
  <si>
    <t>NE 150</t>
  </si>
  <si>
    <t>38 e 39</t>
  </si>
  <si>
    <t>40 e 41</t>
  </si>
  <si>
    <t>42 e 43</t>
  </si>
  <si>
    <t>44 e 45</t>
  </si>
  <si>
    <t>46, 47 e 62</t>
  </si>
  <si>
    <t>48 e 49</t>
  </si>
  <si>
    <t>50 e 51</t>
  </si>
  <si>
    <t>52 e 53</t>
  </si>
  <si>
    <t xml:space="preserve">NL 03 </t>
  </si>
  <si>
    <t>54 e 55</t>
  </si>
  <si>
    <t>56 e 57</t>
  </si>
  <si>
    <t>58 e 59</t>
  </si>
  <si>
    <t>60 e 61</t>
  </si>
  <si>
    <t>BUSINESS SOLUÇÕES CORPORATIVAS - DIRETAS - MARÇO</t>
  </si>
  <si>
    <t>INDIRETAS - MARÇO</t>
  </si>
  <si>
    <t xml:space="preserve">ÓRGÃO </t>
  </si>
  <si>
    <t>BANCO</t>
  </si>
  <si>
    <t>CONTA</t>
  </si>
  <si>
    <t>NOME DA CONTA</t>
  </si>
  <si>
    <t>VALOR TOTAL</t>
  </si>
  <si>
    <t>VALOR TOT</t>
  </si>
  <si>
    <t>001 B. BRASIL</t>
  </si>
  <si>
    <t xml:space="preserve">000012417-6 </t>
  </si>
  <si>
    <t>RECEITA DA PRESTAÇÃO DOS S</t>
  </si>
  <si>
    <t>720/2026</t>
  </si>
  <si>
    <t>NL 05</t>
  </si>
  <si>
    <t xml:space="preserve">00001206-8 </t>
  </si>
  <si>
    <t>001-1674-1210</t>
  </si>
  <si>
    <t>NL 06</t>
  </si>
  <si>
    <t>0000008597-9</t>
  </si>
  <si>
    <t>8.597-9</t>
  </si>
  <si>
    <t>FUNPAPA 2</t>
  </si>
  <si>
    <t>001 B BRASIL</t>
  </si>
  <si>
    <t>000013214-4</t>
  </si>
  <si>
    <t>PROCAD-SUAS</t>
  </si>
  <si>
    <t>00012711-6</t>
  </si>
  <si>
    <t>ARREC. IASB</t>
  </si>
  <si>
    <t>BELEMPREV - IPMB</t>
  </si>
  <si>
    <t xml:space="preserve">001 B BRASIL </t>
  </si>
  <si>
    <t>00012726-4</t>
  </si>
  <si>
    <t>C. PG DESP ADM</t>
  </si>
  <si>
    <t>000506625-5</t>
  </si>
  <si>
    <t>SEC. MUN. EDU</t>
  </si>
  <si>
    <t>FMAE</t>
  </si>
  <si>
    <t>FUNBOSQUE</t>
  </si>
  <si>
    <t>SESMA TESOURO</t>
  </si>
  <si>
    <t>00026598-6</t>
  </si>
  <si>
    <t>FMS</t>
  </si>
  <si>
    <t>SESMA PROD - MAC</t>
  </si>
  <si>
    <t>00013257-8</t>
  </si>
  <si>
    <t>SUS CUSTEIO</t>
  </si>
  <si>
    <t>NE 78</t>
  </si>
  <si>
    <t>SESMA CAPS - MAC</t>
  </si>
  <si>
    <t>SESMA SAMU - MAC</t>
  </si>
  <si>
    <t>SEMEC CRIE</t>
  </si>
  <si>
    <t>NL 07</t>
  </si>
  <si>
    <t>SESMA UPA- MAC</t>
  </si>
  <si>
    <t>NL 08</t>
  </si>
  <si>
    <t>SESMA DEVS</t>
  </si>
  <si>
    <t>SESMA PAB</t>
  </si>
  <si>
    <t>13511-9</t>
  </si>
  <si>
    <t>TRANSITO</t>
  </si>
  <si>
    <t>84* 91</t>
  </si>
  <si>
    <t xml:space="preserve">SALDO DOS EMPENHOS </t>
  </si>
  <si>
    <t>9/2026 - SEGOV</t>
  </si>
  <si>
    <t>NE 147</t>
  </si>
  <si>
    <t>BELÉM DIGITAL</t>
  </si>
  <si>
    <t>10/2026 - SEGOV</t>
  </si>
  <si>
    <t>NE 148</t>
  </si>
  <si>
    <t>487/2026 - SEGEP</t>
  </si>
  <si>
    <t>488/2026 - SEGEP</t>
  </si>
  <si>
    <t>664/2026 - SEGEP</t>
  </si>
  <si>
    <t>665/2026 - SEGEP</t>
  </si>
  <si>
    <t>INDIRETAS - ABRIL</t>
  </si>
  <si>
    <t>969/2026 - SEGEP</t>
  </si>
  <si>
    <t>968/2026 - SEGEP</t>
  </si>
  <si>
    <t>CESSÃO SERVIDOR OTÁVIO MACHADO</t>
  </si>
  <si>
    <t>SALDO DO CONTRATO 07/2023 - M. C. XERFAN (MULATAS)</t>
  </si>
  <si>
    <t>DESCRIÇÃO</t>
  </si>
  <si>
    <t xml:space="preserve">QTDD. </t>
  </si>
  <si>
    <t>QTDD. UTILIZADA</t>
  </si>
  <si>
    <t xml:space="preserve">	ALMOÇO/JANTAR</t>
  </si>
  <si>
    <t xml:space="preserve">	CAFÉ DA MANHÃ.</t>
  </si>
  <si>
    <t xml:space="preserve">	COFFEE BREAK.</t>
  </si>
  <si>
    <t xml:space="preserve">	COQUETEL TIPO 1</t>
  </si>
  <si>
    <t xml:space="preserve">	COQUETEL VOLANTE</t>
  </si>
  <si>
    <t xml:space="preserve">	KIT LANCHE.</t>
  </si>
  <si>
    <t xml:space="preserve">	REFEIÇÃO PREPARADA TIPO QUENTINHA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</si>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</sst>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/yyyy"/>
    <numFmt numFmtId="165" formatCode="_([$R$ -416]* #,##0.00_);_([$R$ -416]* \(#,##0.00\);_([$R$ -416]* &quot;-&quot;??_);_(@_)"/>
    <numFmt numFmtId="166" formatCode="mm/yyyy"/>
    <numFmt numFmtId="167" formatCode="m/yyyy"/>
    <numFmt numFmtId="168" formatCode="mmmm/d"/>
    <numFmt numFmtId="169" formatCode="[$R$ -416]#,##0.00"/>
    <numFmt numFmtId="170" formatCode="mmm&quot;/&quot;yyyy"/>
  </numFmts>
  <fonts count="64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20.0"/>
      <color rgb="FFC9DAF8"/>
      <name val="Arial"/>
      <scheme val="minor"/>
    </font>
    <font/>
    <font>
      <b/>
      <sz val="12.0"/>
      <color rgb="FFCFE2F3"/>
      <name val="Arial"/>
      <scheme val="minor"/>
    </font>
    <font>
      <color rgb="FF1C4587"/>
      <name val="Arial"/>
      <scheme val="minor"/>
    </font>
    <font>
      <b/>
      <sz val="11.0"/>
      <color rgb="FF1C4587"/>
      <name val="Arial"/>
      <scheme val="minor"/>
    </font>
    <font>
      <b/>
      <sz val="13.0"/>
      <color rgb="FF1C4587"/>
      <name val="Arial"/>
      <scheme val="minor"/>
    </font>
    <font>
      <b/>
      <sz val="12.0"/>
      <color rgb="FF1C4587"/>
      <name val="Arial"/>
      <scheme val="minor"/>
    </font>
    <font>
      <color theme="1"/>
      <name val="Arial"/>
      <scheme val="minor"/>
    </font>
    <font>
      <sz val="11.0"/>
      <color rgb="FF1C4587"/>
      <name val="Arial"/>
      <scheme val="minor"/>
    </font>
    <font>
      <b/>
      <color rgb="FF1C4587"/>
      <name val="Arial"/>
      <scheme val="minor"/>
    </font>
    <font>
      <b/>
      <sz val="20.0"/>
      <color rgb="FFFCE5CD"/>
      <name val="Arial"/>
      <scheme val="minor"/>
    </font>
    <font>
      <b/>
      <sz val="12.0"/>
      <color rgb="FFFCE5CD"/>
      <name val="Arial"/>
      <scheme val="minor"/>
    </font>
    <font>
      <sz val="10.0"/>
      <color rgb="FF783F04"/>
      <name val="Arial"/>
      <scheme val="minor"/>
    </font>
    <font>
      <b/>
      <sz val="12.0"/>
      <color rgb="FF783F04"/>
      <name val="Arial"/>
      <scheme val="minor"/>
    </font>
    <font>
      <b/>
      <sz val="13.0"/>
      <color rgb="FF783F04"/>
      <name val="Arial"/>
      <scheme val="minor"/>
    </font>
    <font>
      <color rgb="FF783F04"/>
      <name val="Arial"/>
      <scheme val="minor"/>
    </font>
    <font>
      <b/>
      <color rgb="FF783F04"/>
      <name val="Arial"/>
      <scheme val="minor"/>
    </font>
    <font>
      <sz val="10.0"/>
      <color rgb="FF7F6000"/>
      <name val="Arial"/>
      <scheme val="minor"/>
    </font>
    <font>
      <b/>
      <sz val="12.0"/>
      <color rgb="FF7F6000"/>
      <name val="Arial"/>
      <scheme val="minor"/>
    </font>
    <font>
      <b/>
      <sz val="13.0"/>
      <color rgb="FF7F6000"/>
      <name val="Arial"/>
      <scheme val="minor"/>
    </font>
    <font>
      <color rgb="FF7F6000"/>
      <name val="Arial"/>
      <scheme val="minor"/>
    </font>
    <font>
      <b/>
      <color rgb="FF7F6000"/>
      <name val="Arial"/>
      <scheme val="minor"/>
    </font>
    <font>
      <b/>
      <sz val="24.0"/>
      <color rgb="FFFCE5CD"/>
      <name val="Arial"/>
      <scheme val="minor"/>
    </font>
    <font>
      <b/>
      <sz val="14.0"/>
      <color rgb="FF7F6000"/>
      <name val="Arial"/>
      <scheme val="minor"/>
    </font>
    <font>
      <b/>
      <sz val="14.0"/>
      <color rgb="FFF4CCCC"/>
      <name val="Arial"/>
      <scheme val="minor"/>
    </font>
    <font>
      <b/>
      <sz val="14.0"/>
      <color rgb="FFF4CCCC"/>
      <name val="Arial Narrow"/>
    </font>
    <font>
      <b/>
      <sz val="11.0"/>
      <color rgb="FFF4CCCC"/>
      <name val="Calibri"/>
    </font>
    <font>
      <b/>
      <color rgb="FFF4CCCC"/>
      <name val="Arial"/>
      <scheme val="minor"/>
    </font>
    <font>
      <b/>
      <sz val="12.0"/>
      <color rgb="FF660000"/>
      <name val="Arial Narrow"/>
    </font>
    <font>
      <sz val="12.0"/>
      <color rgb="FF660000"/>
      <name val="Arial Narrow"/>
    </font>
    <font>
      <b/>
      <sz val="12.0"/>
      <color rgb="FF660000"/>
      <name val="Calibri"/>
    </font>
    <font>
      <b/>
      <sz val="12.0"/>
      <color rgb="FF660000"/>
      <name val="Arial"/>
      <scheme val="minor"/>
    </font>
    <font>
      <b/>
      <sz val="14.0"/>
      <color rgb="FF38761D"/>
      <name val="Arial"/>
      <scheme val="minor"/>
    </font>
    <font>
      <b/>
      <sz val="14.0"/>
      <color rgb="FF38761D"/>
      <name val="Arial Narrow"/>
    </font>
    <font>
      <b/>
      <sz val="11.0"/>
      <color rgb="FF38761D"/>
      <name val="Calibri"/>
    </font>
    <font>
      <b/>
      <color rgb="FF38761D"/>
      <name val="Arial"/>
      <scheme val="minor"/>
    </font>
    <font>
      <color rgb="FF38761D"/>
      <name val="Arial"/>
      <scheme val="minor"/>
    </font>
    <font>
      <b/>
      <sz val="12.0"/>
      <color rgb="FF38761D"/>
      <name val="Arial Narrow"/>
    </font>
    <font>
      <sz val="12.0"/>
      <color rgb="FF38761D"/>
      <name val="Arial Narrow"/>
    </font>
    <font>
      <b/>
      <sz val="12.0"/>
      <color rgb="FF38761D"/>
      <name val="Calibri"/>
    </font>
    <font>
      <b/>
      <sz val="12.0"/>
      <color rgb="FF38761D"/>
      <name val="Arial"/>
      <scheme val="minor"/>
    </font>
    <font>
      <b/>
      <sz val="14.0"/>
      <color rgb="FFC9DAF8"/>
      <name val="Arial"/>
      <scheme val="minor"/>
    </font>
    <font>
      <color rgb="FF000000"/>
      <name val="Arial"/>
      <scheme val="minor"/>
    </font>
    <font>
      <b/>
      <sz val="14.0"/>
      <color rgb="FFC9DAF8"/>
      <name val="Arial Narrow"/>
    </font>
    <font>
      <b/>
      <sz val="11.0"/>
      <color rgb="FFC9DAF8"/>
      <name val="Calibri"/>
    </font>
    <font>
      <b/>
      <sz val="16.0"/>
      <color rgb="FFEAD1DC"/>
      <name val="Times New Roman"/>
    </font>
    <font>
      <b/>
      <color rgb="FFC9DAF8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b/>
      <sz val="13.0"/>
      <color theme="1"/>
      <name val="Calibri"/>
    </font>
    <font>
      <b/>
      <sz val="12.0"/>
      <color rgb="FF1C4587"/>
      <name val="Arial Narrow"/>
    </font>
    <font>
      <sz val="12.0"/>
      <color rgb="FF1C4587"/>
      <name val="Arial Narrow"/>
    </font>
    <font>
      <b/>
      <sz val="12.0"/>
      <color rgb="FF1C4587"/>
      <name val="Calibri"/>
    </font>
    <font>
      <b/>
      <sz val="10.0"/>
      <color rgb="FF1C4587"/>
      <name val="Arial"/>
      <scheme val="minor"/>
    </font>
    <font>
      <b/>
      <sz val="12.0"/>
      <color rgb="FF000000"/>
      <name val="Arial"/>
      <scheme val="minor"/>
    </font>
    <font>
      <b/>
      <sz val="11.0"/>
      <color rgb="FFF4CCCC"/>
      <name val="Arial"/>
      <scheme val="minor"/>
    </font>
    <font>
      <sz val="11.0"/>
      <color theme="1"/>
      <name val="Arial"/>
      <scheme val="minor"/>
    </font>
    <font>
      <b/>
      <sz val="14.0"/>
      <color rgb="FFFFF2CC"/>
      <name val="Arial"/>
      <scheme val="minor"/>
    </font>
    <font>
      <b/>
      <color rgb="FFFFF2CC"/>
      <name val="Arial"/>
      <scheme val="minor"/>
    </font>
    <font>
      <b/>
      <sz val="13.0"/>
      <color rgb="FFE6B8AF"/>
      <name val="Arial"/>
      <scheme val="minor"/>
    </font>
    <font>
      <b/>
      <color rgb="FF5B0F00"/>
      <name val="Arial"/>
      <scheme val="minor"/>
    </font>
    <font>
      <b/>
      <sz val="11.0"/>
      <color rgb="FFE6B8AF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783F04"/>
        <bgColor rgb="FF783F04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660000"/>
        <bgColor rgb="FF660000"/>
      </patternFill>
    </fill>
    <fill>
      <patternFill patternType="solid">
        <fgColor rgb="FFB4A7D6"/>
        <bgColor rgb="FFB4A7D6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1155CC"/>
        <bgColor rgb="FF1155CC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5B0F00"/>
        <bgColor rgb="FF5B0F00"/>
      </patternFill>
    </fill>
    <fill>
      <patternFill patternType="solid">
        <fgColor rgb="FFE6B8AF"/>
        <bgColor rgb="FFE6B8AF"/>
      </patternFill>
    </fill>
  </fills>
  <borders count="206">
    <border/>
    <border>
      <left style="medium">
        <color rgb="FF073763"/>
      </left>
      <top style="medium">
        <color rgb="FF073763"/>
      </top>
      <bottom style="medium">
        <color rgb="FF1155CC"/>
      </bottom>
    </border>
    <border>
      <top style="medium">
        <color rgb="FF073763"/>
      </top>
      <bottom style="medium">
        <color rgb="FF1155CC"/>
      </bottom>
    </border>
    <border>
      <right style="medium">
        <color rgb="FF073763"/>
      </right>
      <top style="medium">
        <color rgb="FF073763"/>
      </top>
      <bottom style="medium">
        <color rgb="FF1155CC"/>
      </bottom>
    </border>
    <border>
      <left style="medium">
        <color rgb="FF073763"/>
      </left>
      <right style="medium">
        <color rgb="FF1155CC"/>
      </right>
      <top style="medium">
        <color rgb="FF1155CC"/>
      </top>
    </border>
    <border>
      <left style="medium">
        <color rgb="FF1155CC"/>
      </left>
      <right style="medium">
        <color rgb="FF1155CC"/>
      </right>
      <top style="medium">
        <color rgb="FF1155CC"/>
      </top>
    </border>
    <border>
      <left style="medium">
        <color rgb="FF1155CC"/>
      </left>
      <right style="medium">
        <color rgb="FF073763"/>
      </right>
      <top style="medium">
        <color rgb="FF1155CC"/>
      </top>
    </border>
    <border>
      <left style="medium">
        <color rgb="FF07376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73763"/>
      </right>
      <top style="thin">
        <color rgb="FF000000"/>
      </top>
      <bottom style="thin">
        <color rgb="FF000000"/>
      </bottom>
    </border>
    <border>
      <left style="medium">
        <color rgb="FF073763"/>
      </left>
      <right style="thin">
        <color rgb="FF000000"/>
      </right>
      <top style="thin">
        <color rgb="FF000000"/>
      </top>
      <bottom style="medium">
        <color rgb="FF07376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73763"/>
      </bottom>
    </border>
    <border>
      <left style="thin">
        <color rgb="FF000000"/>
      </left>
      <right style="medium">
        <color rgb="FF073763"/>
      </right>
      <top style="thin">
        <color rgb="FF000000"/>
      </top>
      <bottom style="medium">
        <color rgb="FF073763"/>
      </bottom>
    </border>
    <border>
      <left style="medium">
        <color rgb="FFB45F06"/>
      </left>
      <top style="medium">
        <color rgb="FFB45F06"/>
      </top>
    </border>
    <border>
      <top style="medium">
        <color rgb="FFB45F06"/>
      </top>
    </border>
    <border>
      <right style="medium">
        <color rgb="FFB45F06"/>
      </right>
      <top style="medium">
        <color rgb="FFB45F06"/>
      </top>
    </border>
    <border>
      <left style="medium">
        <color rgb="FFB45F06"/>
      </left>
      <right style="medium">
        <color rgb="FFF6B26B"/>
      </right>
      <top style="medium">
        <color rgb="FFF6B26B"/>
      </top>
      <bottom style="medium">
        <color rgb="FFF6B26B"/>
      </bottom>
    </border>
    <border>
      <left style="medium">
        <color rgb="FFF6B26B"/>
      </left>
      <right style="medium">
        <color rgb="FFF6B26B"/>
      </right>
      <top style="medium">
        <color rgb="FFF6B26B"/>
      </top>
      <bottom style="medium">
        <color rgb="FFF6B26B"/>
      </bottom>
    </border>
    <border>
      <left style="medium">
        <color rgb="FFF6B26B"/>
      </left>
      <right style="medium">
        <color rgb="FFB45F06"/>
      </right>
      <top style="medium">
        <color rgb="FFF6B26B"/>
      </top>
      <bottom style="medium">
        <color rgb="FFF6B26B"/>
      </bottom>
    </border>
    <border>
      <left style="medium">
        <color rgb="FFB45F06"/>
      </left>
      <right style="thin">
        <color rgb="FFB45F06"/>
      </right>
      <bottom style="thin">
        <color rgb="FFB45F06"/>
      </bottom>
    </border>
    <border>
      <left style="thin">
        <color rgb="FFB45F06"/>
      </left>
      <right style="thin">
        <color rgb="FFB45F06"/>
      </right>
      <bottom style="thin">
        <color rgb="FFB45F06"/>
      </bottom>
    </border>
    <border>
      <left style="thin">
        <color rgb="FFB45F06"/>
      </left>
      <right style="medium">
        <color rgb="FFB45F06"/>
      </right>
      <bottom style="thin">
        <color rgb="FFB45F06"/>
      </bottom>
    </border>
    <border>
      <left style="medium">
        <color rgb="FFB45F06"/>
      </left>
      <right style="thin">
        <color rgb="FFB45F06"/>
      </right>
      <top style="thin">
        <color rgb="FFB45F06"/>
      </top>
      <bottom style="thin">
        <color rgb="FFB45F06"/>
      </bottom>
    </border>
    <border>
      <left style="thin">
        <color rgb="FFB45F06"/>
      </left>
      <right style="thin">
        <color rgb="FFB45F06"/>
      </right>
      <top style="thin">
        <color rgb="FFB45F06"/>
      </top>
      <bottom style="thin">
        <color rgb="FFB45F06"/>
      </bottom>
    </border>
    <border>
      <left style="thin">
        <color rgb="FFB45F06"/>
      </left>
      <right style="medium">
        <color rgb="FFB45F06"/>
      </right>
      <top style="thin">
        <color rgb="FFB45F06"/>
      </top>
      <bottom style="thin">
        <color rgb="FFB45F06"/>
      </bottom>
    </border>
    <border>
      <left style="thin">
        <color rgb="FFB45F06"/>
      </left>
      <right style="thin">
        <color rgb="FF783F04"/>
      </right>
      <top style="thin">
        <color rgb="FFB45F06"/>
      </top>
      <bottom style="thin">
        <color rgb="FF783F04"/>
      </bottom>
    </border>
    <border>
      <left style="thin">
        <color rgb="FF783F04"/>
      </left>
      <right style="thin">
        <color rgb="FF783F04"/>
      </right>
      <top style="thin">
        <color rgb="FFB45F06"/>
      </top>
      <bottom style="thin">
        <color rgb="FF783F04"/>
      </bottom>
    </border>
    <border>
      <left style="thin">
        <color rgb="FF783F04"/>
      </left>
      <right style="thin">
        <color rgb="FFB45F06"/>
      </right>
      <top style="thin">
        <color rgb="FFB45F06"/>
      </top>
      <bottom style="thin">
        <color rgb="FF783F04"/>
      </bottom>
    </border>
    <border>
      <left style="thin">
        <color rgb="FFB45F06"/>
      </left>
      <right style="thin">
        <color rgb="FFB45F06"/>
      </right>
      <top style="thin">
        <color rgb="FFB45F06"/>
      </top>
    </border>
    <border>
      <left style="thin">
        <color rgb="FFB45F06"/>
      </left>
      <right style="medium">
        <color rgb="FFB45F06"/>
      </right>
      <top style="thin">
        <color rgb="FFB45F06"/>
      </top>
    </border>
    <border>
      <left style="medium">
        <color rgb="FFB45F06"/>
      </left>
      <right style="thin">
        <color rgb="FFB45F06"/>
      </right>
      <top style="thin">
        <color rgb="FFB45F06"/>
      </top>
    </border>
    <border>
      <left style="thin">
        <color rgb="FFB45F06"/>
      </left>
      <right style="thin">
        <color rgb="FF783F04"/>
      </right>
      <top style="thin">
        <color rgb="FF783F04"/>
      </top>
      <bottom style="thin">
        <color rgb="FF783F04"/>
      </bottom>
    </border>
    <border>
      <left style="thin">
        <color rgb="FF783F04"/>
      </left>
      <right style="thin">
        <color rgb="FF783F04"/>
      </right>
      <top style="thin">
        <color rgb="FF783F04"/>
      </top>
      <bottom style="thin">
        <color rgb="FF783F04"/>
      </bottom>
    </border>
    <border>
      <left style="thin">
        <color rgb="FF783F04"/>
      </left>
      <right style="thin">
        <color rgb="FFB45F06"/>
      </right>
      <top style="thin">
        <color rgb="FF783F04"/>
      </top>
      <bottom style="thin">
        <color rgb="FF783F04"/>
      </bottom>
    </border>
    <border>
      <left style="thin">
        <color rgb="FF783F04"/>
      </left>
      <right style="medium">
        <color rgb="FFB45F06"/>
      </right>
      <top style="thin">
        <color rgb="FFB45F06"/>
      </top>
      <bottom style="thin">
        <color rgb="FF783F04"/>
      </bottom>
    </border>
    <border>
      <left style="thin">
        <color rgb="FF783F04"/>
      </left>
      <right style="medium">
        <color rgb="FFB45F06"/>
      </right>
      <top style="thin">
        <color rgb="FF783F04"/>
      </top>
      <bottom style="thin">
        <color rgb="FF783F04"/>
      </bottom>
    </border>
    <border>
      <left style="medium">
        <color rgb="FFB45F06"/>
      </left>
      <right style="thin">
        <color rgb="FFB45F06"/>
      </right>
      <top style="thin">
        <color rgb="FFB45F06"/>
      </top>
      <bottom style="medium">
        <color rgb="FFB45F06"/>
      </bottom>
    </border>
    <border>
      <left style="thin">
        <color rgb="FFB45F06"/>
      </left>
      <right style="thin">
        <color rgb="FF783F04"/>
      </right>
      <top style="thin">
        <color rgb="FF783F04"/>
      </top>
      <bottom style="medium">
        <color rgb="FFB45F06"/>
      </bottom>
    </border>
    <border>
      <left style="thin">
        <color rgb="FF783F04"/>
      </left>
      <right style="thin">
        <color rgb="FF783F04"/>
      </right>
      <top style="thin">
        <color rgb="FF783F04"/>
      </top>
      <bottom style="medium">
        <color rgb="FFB45F06"/>
      </bottom>
    </border>
    <border>
      <left style="thin">
        <color rgb="FF783F04"/>
      </left>
      <right style="medium">
        <color rgb="FFB45F06"/>
      </right>
      <top style="thin">
        <color rgb="FF783F04"/>
      </top>
      <bottom style="medium">
        <color rgb="FFB45F06"/>
      </bottom>
    </border>
    <border>
      <left style="medium">
        <color rgb="FFB45F06"/>
      </left>
      <right style="thin">
        <color rgb="FF7F6000"/>
      </right>
      <bottom style="thin">
        <color rgb="FF7F6000"/>
      </bottom>
    </border>
    <border>
      <left style="thin">
        <color rgb="FF7F6000"/>
      </left>
      <right style="thin">
        <color rgb="FF7F6000"/>
      </right>
      <bottom style="thin">
        <color rgb="FF7F6000"/>
      </bottom>
    </border>
    <border>
      <left style="thin">
        <color rgb="FF7F6000"/>
      </left>
      <right style="medium">
        <color rgb="FFB45F06"/>
      </right>
      <bottom style="thin">
        <color rgb="FF7F6000"/>
      </bottom>
    </border>
    <border>
      <left style="medium">
        <color rgb="FFB45F06"/>
      </left>
      <right style="thin">
        <color rgb="FF7F6000"/>
      </right>
      <top style="thin">
        <color rgb="FF7F6000"/>
      </top>
      <bottom style="thin">
        <color rgb="FF7F6000"/>
      </bottom>
    </border>
    <border>
      <left style="thin">
        <color rgb="FF7F6000"/>
      </left>
      <right style="thin">
        <color rgb="FF7F6000"/>
      </right>
      <top style="thin">
        <color rgb="FF7F6000"/>
      </top>
      <bottom style="thin">
        <color rgb="FF7F6000"/>
      </bottom>
    </border>
    <border>
      <left style="thin">
        <color rgb="FF7F6000"/>
      </left>
      <right style="medium">
        <color rgb="FFB45F06"/>
      </right>
      <top style="thin">
        <color rgb="FF7F6000"/>
      </top>
      <bottom style="thin">
        <color rgb="FF7F6000"/>
      </bottom>
    </border>
    <border>
      <left style="medium">
        <color rgb="FFB45F06"/>
      </left>
      <right style="thin">
        <color rgb="FF7F6000"/>
      </right>
      <top style="thin">
        <color rgb="FF7F6000"/>
      </top>
      <bottom style="medium">
        <color rgb="FFB45F06"/>
      </bottom>
    </border>
    <border>
      <left style="thin">
        <color rgb="FF7F6000"/>
      </left>
      <right style="thin">
        <color rgb="FF7F6000"/>
      </right>
      <top style="thin">
        <color rgb="FF7F6000"/>
      </top>
      <bottom style="medium">
        <color rgb="FFB45F06"/>
      </bottom>
    </border>
    <border>
      <left style="thin">
        <color rgb="FF7F6000"/>
      </left>
      <right style="medium">
        <color rgb="FFB45F06"/>
      </right>
      <top style="thin">
        <color rgb="FF7F6000"/>
      </top>
      <bottom style="medium">
        <color rgb="FFB45F06"/>
      </bottom>
    </border>
    <border>
      <left style="medium">
        <color rgb="FFF1C232"/>
      </left>
      <top style="medium">
        <color rgb="FFF1C232"/>
      </top>
      <bottom style="medium">
        <color rgb="FFF1C232"/>
      </bottom>
    </border>
    <border>
      <top style="medium">
        <color rgb="FFF1C232"/>
      </top>
      <bottom style="medium">
        <color rgb="FFF1C232"/>
      </bottom>
    </border>
    <border>
      <right style="medium">
        <color rgb="FFF1C232"/>
      </right>
      <top style="medium">
        <color rgb="FFF1C232"/>
      </top>
      <bottom style="medium">
        <color rgb="FFF1C232"/>
      </bottom>
    </border>
    <border>
      <left style="medium">
        <color rgb="FFF1C232"/>
      </left>
      <right style="medium">
        <color rgb="FFF1C232"/>
      </right>
      <top style="medium">
        <color rgb="FFF1C232"/>
      </top>
      <bottom style="medium">
        <color rgb="FFF1C232"/>
      </bottom>
    </border>
    <border>
      <left style="medium">
        <color rgb="FF7F6000"/>
      </left>
      <right style="thin">
        <color rgb="FF7F6000"/>
      </right>
      <bottom style="thin">
        <color rgb="FF7F6000"/>
      </bottom>
    </border>
    <border>
      <left style="thin">
        <color rgb="FF7F6000"/>
      </left>
      <right style="medium">
        <color rgb="FF7F6000"/>
      </right>
      <bottom style="thin">
        <color rgb="FF7F6000"/>
      </bottom>
    </border>
    <border>
      <left style="medium">
        <color rgb="FF7F6000"/>
      </left>
      <right style="thin">
        <color rgb="FF7F6000"/>
      </right>
      <top style="thin">
        <color rgb="FF7F6000"/>
      </top>
      <bottom style="thin">
        <color rgb="FF7F6000"/>
      </bottom>
    </border>
    <border>
      <left style="medium">
        <color rgb="FF7F6000"/>
      </left>
      <right style="thin">
        <color rgb="FF7F6000"/>
      </right>
      <top style="thin">
        <color rgb="FF7F6000"/>
      </top>
      <bottom style="medium">
        <color rgb="FF7F6000"/>
      </bottom>
    </border>
    <border>
      <left style="thin">
        <color rgb="FF7F6000"/>
      </left>
      <right style="thin">
        <color rgb="FF7F6000"/>
      </right>
      <top style="thin">
        <color rgb="FF7F6000"/>
      </top>
      <bottom style="medium">
        <color rgb="FF7F6000"/>
      </bottom>
    </border>
    <border>
      <left style="thin">
        <color rgb="FF7F6000"/>
      </left>
      <right style="medium">
        <color rgb="FF7F6000"/>
      </right>
      <bottom style="medium">
        <color rgb="FF7F6000"/>
      </bottom>
    </border>
    <border>
      <left style="medium">
        <color rgb="FFCC0000"/>
      </left>
      <top style="medium">
        <color rgb="FFCC0000"/>
      </top>
      <bottom style="thin">
        <color rgb="FFE06666"/>
      </bottom>
    </border>
    <border>
      <top style="medium">
        <color rgb="FFCC0000"/>
      </top>
      <bottom style="thin">
        <color rgb="FFE06666"/>
      </bottom>
    </border>
    <border>
      <right style="medium">
        <color rgb="FFCC0000"/>
      </right>
      <top style="medium">
        <color rgb="FFCC0000"/>
      </top>
      <bottom style="thin">
        <color rgb="FFE06666"/>
      </bottom>
    </border>
    <border>
      <left style="medium">
        <color rgb="FFCC0000"/>
      </left>
      <top style="medium">
        <color rgb="FFCC0000"/>
      </top>
      <bottom style="thin">
        <color rgb="FF000000"/>
      </bottom>
    </border>
    <border>
      <top style="medium">
        <color rgb="FFCC0000"/>
      </top>
      <bottom style="thin">
        <color rgb="FF000000"/>
      </bottom>
    </border>
    <border>
      <right style="thin">
        <color rgb="FF000000"/>
      </right>
      <top style="medium">
        <color rgb="FFCC0000"/>
      </top>
      <bottom style="thin">
        <color rgb="FF000000"/>
      </bottom>
    </border>
    <border>
      <left style="thin">
        <color rgb="FF000000"/>
      </left>
      <right style="medium">
        <color rgb="FFCC0000"/>
      </right>
      <top style="medium">
        <color rgb="FFCC0000"/>
      </top>
    </border>
    <border>
      <left style="medium">
        <color rgb="FFCC0000"/>
      </left>
      <right style="thin">
        <color rgb="FFE06666"/>
      </right>
      <top style="thin">
        <color rgb="FFE06666"/>
      </top>
      <bottom style="thin">
        <color rgb="FFE06666"/>
      </bottom>
    </border>
    <border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E06666"/>
      </left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E06666"/>
      </left>
      <right style="medium">
        <color rgb="FFCC0000"/>
      </right>
      <top style="thin">
        <color rgb="FFE06666"/>
      </top>
      <bottom style="thin">
        <color rgb="FFE06666"/>
      </bottom>
    </border>
    <border>
      <left style="thin">
        <color rgb="FFE06666"/>
      </left>
      <right style="thin">
        <color rgb="FFE06666"/>
      </right>
      <top style="thin">
        <color rgb="FFE06666"/>
      </top>
    </border>
    <border>
      <left style="thin">
        <color rgb="FF000000"/>
      </left>
      <right style="medium">
        <color rgb="FFCC0000"/>
      </right>
      <bottom style="thin">
        <color rgb="FFE06666"/>
      </bottom>
    </border>
    <border>
      <left style="medium">
        <color rgb="FFCC0000"/>
      </left>
      <right style="thin">
        <color rgb="FFE06666"/>
      </right>
      <top style="thin">
        <color rgb="FFE06666"/>
      </top>
    </border>
    <border>
      <left style="thin">
        <color rgb="FFE06666"/>
      </left>
      <right style="thin">
        <color rgb="FFCC0000"/>
      </right>
      <top style="thin">
        <color rgb="FFE06666"/>
      </top>
    </border>
    <border>
      <left style="thin">
        <color rgb="FFE06666"/>
      </left>
      <right style="medium">
        <color rgb="FFCC0000"/>
      </right>
      <top style="thin">
        <color rgb="FFE06666"/>
      </top>
    </border>
    <border>
      <left style="medium">
        <color rgb="FFCC0000"/>
      </left>
      <right style="thin">
        <color rgb="FF660000"/>
      </right>
      <top style="thin">
        <color rgb="FF000000"/>
      </top>
    </border>
    <border>
      <left style="thin">
        <color rgb="FF660000"/>
      </left>
      <right style="thin">
        <color rgb="FF660000"/>
      </right>
      <top style="thin">
        <color rgb="FF000000"/>
      </top>
    </border>
    <border>
      <left style="thin">
        <color rgb="FF660000"/>
      </left>
      <right style="thin">
        <color rgb="FF660000"/>
      </right>
      <top style="thin">
        <color rgb="FF000000"/>
      </top>
      <bottom style="thin">
        <color rgb="FF660000"/>
      </bottom>
    </border>
    <border>
      <left style="thin">
        <color rgb="FF660000"/>
      </left>
      <right style="medium">
        <color rgb="FFCC0000"/>
      </right>
      <top style="thin">
        <color rgb="FF660000"/>
      </top>
    </border>
    <border>
      <left style="medium">
        <color rgb="FFCC0000"/>
      </left>
      <right style="thin">
        <color rgb="FFE06666"/>
      </right>
    </border>
    <border>
      <left style="thin">
        <color rgb="FFE06666"/>
      </left>
      <right style="thin">
        <color rgb="FFCC0000"/>
      </right>
    </border>
    <border>
      <left style="thin">
        <color rgb="FFE06666"/>
      </left>
      <right style="thin">
        <color rgb="FFE06666"/>
      </right>
    </border>
    <border>
      <left style="thin">
        <color rgb="FFE06666"/>
      </left>
      <right style="medium">
        <color rgb="FFCC0000"/>
      </right>
    </border>
    <border>
      <left style="medium">
        <color rgb="FFCC0000"/>
      </left>
      <right style="thin">
        <color rgb="FF660000"/>
      </right>
      <bottom style="thin">
        <color rgb="FF660000"/>
      </bottom>
    </border>
    <border>
      <left style="thin">
        <color rgb="FF660000"/>
      </left>
      <right style="thin">
        <color rgb="FF660000"/>
      </right>
    </border>
    <border>
      <left style="thin">
        <color rgb="FF660000"/>
      </left>
      <right style="thin">
        <color rgb="FF660000"/>
      </right>
      <bottom style="thin">
        <color rgb="FF660000"/>
      </bottom>
    </border>
    <border>
      <left style="thin">
        <color rgb="FF660000"/>
      </left>
      <right style="medium">
        <color rgb="FFCC0000"/>
      </right>
      <bottom style="thin">
        <color rgb="FF660000"/>
      </bottom>
    </border>
    <border>
      <left style="medium">
        <color rgb="FFCC0000"/>
      </left>
      <right style="thin">
        <color rgb="FF660000"/>
      </right>
      <top style="thin">
        <color rgb="FF660000"/>
      </top>
    </border>
    <border>
      <left style="thin">
        <color rgb="FF660000"/>
      </left>
      <right style="thin">
        <color rgb="FF660000"/>
      </right>
      <top style="thin">
        <color rgb="FF660000"/>
      </top>
      <bottom style="thin">
        <color rgb="FF660000"/>
      </bottom>
    </border>
    <border>
      <top style="thin">
        <color rgb="FFE06666"/>
      </top>
      <bottom style="thin">
        <color rgb="FFCC0000"/>
      </bottom>
    </border>
    <border>
      <left style="thin">
        <color rgb="FFCC0000"/>
      </left>
      <top style="thin">
        <color rgb="FFE06666"/>
      </top>
      <bottom style="thin">
        <color rgb="FFCC0000"/>
      </bottom>
    </border>
    <border>
      <left style="thin">
        <color rgb="FFE06666"/>
      </left>
      <right style="thin">
        <color rgb="FFE06666"/>
      </right>
      <bottom style="thin">
        <color rgb="FFE06666"/>
      </bottom>
    </border>
    <border>
      <left style="thin">
        <color rgb="FFE06666"/>
      </left>
      <right style="medium">
        <color rgb="FFCC0000"/>
      </right>
      <bottom style="thin">
        <color rgb="FFE06666"/>
      </bottom>
    </border>
    <border>
      <left style="medium">
        <color rgb="FFCC0000"/>
      </left>
      <top style="thin">
        <color rgb="FFE06666"/>
      </top>
      <bottom style="medium">
        <color rgb="FFCC0000"/>
      </bottom>
    </border>
    <border>
      <top style="thin">
        <color rgb="FFE06666"/>
      </top>
      <bottom style="medium">
        <color rgb="FFCC0000"/>
      </bottom>
    </border>
    <border>
      <right style="thin">
        <color rgb="FFE06666"/>
      </right>
      <top style="thin">
        <color rgb="FFE06666"/>
      </top>
      <bottom style="medium">
        <color rgb="FFCC0000"/>
      </bottom>
    </border>
    <border>
      <left style="thin">
        <color rgb="FFE06666"/>
      </left>
      <top style="thin">
        <color rgb="FFE06666"/>
      </top>
      <bottom style="medium">
        <color rgb="FFCC0000"/>
      </bottom>
    </border>
    <border>
      <right style="medium">
        <color rgb="FFCC0000"/>
      </right>
      <top style="thin">
        <color rgb="FFE06666"/>
      </top>
      <bottom style="medium">
        <color rgb="FFCC0000"/>
      </bottom>
    </border>
    <border>
      <left style="medium">
        <color rgb="FFCC0000"/>
      </left>
      <right style="thin">
        <color rgb="FF660000"/>
      </right>
      <bottom style="medium">
        <color rgb="FFCC0000"/>
      </bottom>
    </border>
    <border>
      <left style="thin">
        <color rgb="FF660000"/>
      </left>
      <right style="thin">
        <color rgb="FF660000"/>
      </right>
      <bottom style="medium">
        <color rgb="FFCC0000"/>
      </bottom>
    </border>
    <border>
      <left style="thin">
        <color rgb="FF660000"/>
      </left>
      <right style="thin">
        <color rgb="FF660000"/>
      </right>
      <top style="thin">
        <color rgb="FF660000"/>
      </top>
      <bottom style="medium">
        <color rgb="FFCC0000"/>
      </bottom>
    </border>
    <border>
      <left style="thin">
        <color rgb="FF660000"/>
      </left>
      <right style="medium">
        <color rgb="FFCC0000"/>
      </right>
      <bottom style="medium">
        <color rgb="FFCC0000"/>
      </bottom>
    </border>
    <border>
      <left style="medium">
        <color rgb="FF93C47D"/>
      </left>
      <top style="medium">
        <color rgb="FF93C47D"/>
      </top>
      <bottom style="medium">
        <color rgb="FF93C47D"/>
      </bottom>
    </border>
    <border>
      <top style="medium">
        <color rgb="FF93C47D"/>
      </top>
      <bottom style="medium">
        <color rgb="FF93C47D"/>
      </bottom>
    </border>
    <border>
      <right style="medium">
        <color rgb="FF93C47D"/>
      </right>
      <top style="medium">
        <color rgb="FF93C47D"/>
      </top>
      <bottom style="medium">
        <color rgb="FF93C47D"/>
      </bottom>
    </border>
    <border>
      <left style="medium">
        <color rgb="FF93C47D"/>
      </left>
      <right style="medium">
        <color rgb="FF93C47D"/>
      </right>
      <top style="medium">
        <color rgb="FF93C47D"/>
      </top>
    </border>
    <border>
      <left style="medium">
        <color rgb="FF93C47D"/>
      </left>
      <right style="medium">
        <color rgb="FF93C47D"/>
      </right>
      <top style="medium">
        <color rgb="FF93C47D"/>
      </top>
      <bottom style="medium">
        <color rgb="FF93C47D"/>
      </bottom>
    </border>
    <border>
      <left style="medium">
        <color rgb="FF93C47D"/>
      </left>
      <right style="medium">
        <color rgb="FF93C47D"/>
      </right>
      <bottom style="medium">
        <color rgb="FF93C47D"/>
      </bottom>
    </border>
    <border>
      <left style="medium">
        <color rgb="FF93C47D"/>
      </left>
      <right style="thin">
        <color rgb="FF93C47D"/>
      </right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93C47D"/>
      </left>
      <right style="thin">
        <color rgb="FF93C47D"/>
      </right>
    </border>
    <border>
      <left style="thin">
        <color rgb="FF93C47D"/>
      </left>
      <right style="thin">
        <color rgb="FF93C47D"/>
      </right>
      <bottom style="thin">
        <color rgb="FF93C47D"/>
      </bottom>
    </border>
    <border>
      <left style="thin">
        <color rgb="FF93C47D"/>
      </left>
      <right style="medium">
        <color rgb="FF93C47D"/>
      </right>
    </border>
    <border>
      <left style="medium">
        <color rgb="FF93C47D"/>
      </left>
      <right style="thin">
        <color rgb="FF93C47D"/>
      </right>
      <bottom style="thin">
        <color rgb="FF93C47D"/>
      </bottom>
    </border>
    <border>
      <left style="thin">
        <color rgb="FF93C47D"/>
      </left>
      <right style="medium">
        <color rgb="FF93C47D"/>
      </right>
      <bottom style="thin">
        <color rgb="FF93C47D"/>
      </bottom>
    </border>
    <border>
      <left style="medium">
        <color rgb="FF93C47D"/>
      </left>
      <right style="thin">
        <color rgb="FF93C47D"/>
      </right>
      <top style="thin">
        <color rgb="FF93C47D"/>
      </top>
    </border>
    <border>
      <left style="thin">
        <color rgb="FF93C47D"/>
      </left>
      <right style="thin">
        <color rgb="FF93C47D"/>
      </right>
      <top style="thin">
        <color rgb="FF93C47D"/>
      </top>
    </border>
    <border>
      <left style="thin">
        <color rgb="FF93C47D"/>
      </left>
      <right style="medium">
        <color rgb="FF93C47D"/>
      </right>
      <top style="thin">
        <color rgb="FF93C47D"/>
      </top>
    </border>
    <border>
      <left style="medium">
        <color rgb="FF93C47D"/>
      </left>
      <top style="thin">
        <color rgb="FF93C47D"/>
      </top>
      <bottom style="medium">
        <color rgb="FF93C47D"/>
      </bottom>
    </border>
    <border>
      <top style="thin">
        <color rgb="FF93C47D"/>
      </top>
      <bottom style="medium">
        <color rgb="FF93C47D"/>
      </bottom>
    </border>
    <border>
      <right style="thin">
        <color rgb="FF93C47D"/>
      </right>
      <top style="thin">
        <color rgb="FF93C47D"/>
      </top>
      <bottom style="medium">
        <color rgb="FF93C47D"/>
      </bottom>
    </border>
    <border>
      <left style="thin">
        <color rgb="FF93C47D"/>
      </left>
      <top style="thin">
        <color rgb="FF93C47D"/>
      </top>
      <bottom style="medium">
        <color rgb="FF93C47D"/>
      </bottom>
    </border>
    <border>
      <right style="medium">
        <color rgb="FF93C47D"/>
      </right>
      <top style="thin">
        <color rgb="FF93C47D"/>
      </top>
      <bottom style="medium">
        <color rgb="FF93C47D"/>
      </bottom>
    </border>
    <border>
      <left style="medium">
        <color rgb="FF93C47D"/>
      </left>
      <right style="thin">
        <color rgb="FF93C47D"/>
      </right>
      <bottom style="medium">
        <color rgb="FF93C47D"/>
      </bottom>
    </border>
    <border>
      <left style="thin">
        <color rgb="FF93C47D"/>
      </left>
      <right style="thin">
        <color rgb="FF93C47D"/>
      </right>
      <bottom style="medium">
        <color rgb="FF93C47D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medium">
        <color rgb="FF93C47D"/>
      </bottom>
    </border>
    <border>
      <left style="thin">
        <color rgb="FF93C47D"/>
      </left>
      <right style="medium">
        <color rgb="FF93C47D"/>
      </right>
      <bottom style="medium">
        <color rgb="FF93C47D"/>
      </bottom>
    </border>
    <border>
      <left style="medium">
        <color rgb="FF3C78D8"/>
      </left>
      <top style="medium">
        <color rgb="FF3C78D8"/>
      </top>
      <bottom style="medium">
        <color rgb="FF3C78D8"/>
      </bottom>
    </border>
    <border>
      <top style="medium">
        <color rgb="FF3C78D8"/>
      </top>
      <bottom style="medium">
        <color rgb="FF3C78D8"/>
      </bottom>
    </border>
    <border>
      <right style="medium">
        <color rgb="FF3C78D8"/>
      </right>
      <top style="medium">
        <color rgb="FF3C78D8"/>
      </top>
      <bottom style="medium">
        <color rgb="FF3C78D8"/>
      </bottom>
    </border>
    <border>
      <left style="medium">
        <color rgb="FF3C78D8"/>
      </left>
      <right style="medium">
        <color rgb="FF3C78D8"/>
      </right>
      <top style="medium">
        <color rgb="FF3C78D8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C78D8"/>
      </left>
      <right style="medium">
        <color rgb="FF3C78D8"/>
      </right>
      <top style="medium">
        <color rgb="FF3C78D8"/>
      </top>
      <bottom style="medium">
        <color rgb="FF3C78D8"/>
      </bottom>
    </border>
    <border>
      <left style="medium">
        <color rgb="FF3C78D8"/>
      </left>
      <right style="medium">
        <color rgb="FF3C78D8"/>
      </right>
      <bottom style="medium">
        <color rgb="FF3C78D8"/>
      </bottom>
    </border>
    <border>
      <left style="medium">
        <color rgb="FF3C78D8"/>
      </left>
      <right style="thin">
        <color rgb="FF3C78D8"/>
      </right>
    </border>
    <border>
      <left style="thin">
        <color rgb="FF3C78D8"/>
      </left>
      <right style="thin">
        <color rgb="FF3C78D8"/>
      </right>
    </border>
    <border>
      <left style="thin">
        <color rgb="FF3C78D8"/>
      </left>
      <right style="thin">
        <color rgb="FF1155CC"/>
      </right>
    </border>
    <border>
      <left style="thin">
        <color rgb="FF1155CC"/>
      </left>
      <right style="thin">
        <color rgb="FF1155CC"/>
      </right>
    </border>
    <border>
      <left style="thin">
        <color rgb="FF1155CC"/>
      </left>
      <right style="thin">
        <color rgb="FF1155CC"/>
      </right>
      <bottom style="thin">
        <color rgb="FF1155CC"/>
      </bottom>
    </border>
    <border>
      <left style="thin">
        <color rgb="FF1155CC"/>
      </left>
      <right style="medium">
        <color rgb="FF3C78D8"/>
      </right>
    </border>
    <border>
      <left style="thin">
        <color rgb="FF3C78D8"/>
      </left>
      <right style="thin">
        <color rgb="FF3C78D8"/>
      </right>
      <bottom style="thin">
        <color rgb="FF3C78D8"/>
      </bottom>
    </border>
    <border>
      <left style="thin">
        <color rgb="FF3C78D8"/>
      </left>
      <right style="medium">
        <color rgb="FF3C78D8"/>
      </right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medium">
        <color rgb="FF3C78D8"/>
      </left>
      <right style="thin">
        <color rgb="FF3C78D8"/>
      </right>
      <bottom style="thin">
        <color rgb="FF3C78D8"/>
      </bottom>
    </border>
    <border>
      <left style="thin">
        <color rgb="FF3C78D8"/>
      </left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3C78D8"/>
      </left>
      <right style="medium">
        <color rgb="FF3C78D8"/>
      </right>
      <bottom style="thin">
        <color rgb="FF3C78D8"/>
      </bottom>
    </border>
    <border>
      <left style="thin">
        <color rgb="FF3C78D8"/>
      </left>
      <right style="thin">
        <color rgb="FF3C78D8"/>
      </right>
      <top style="thin">
        <color rgb="FF3C78D8"/>
      </top>
    </border>
    <border>
      <left style="medium">
        <color rgb="FF3C78D8"/>
      </left>
      <right style="thin">
        <color rgb="FF3C78D8"/>
      </right>
      <top style="thin">
        <color rgb="FF3C78D8"/>
      </top>
    </border>
    <border>
      <left style="thin">
        <color rgb="FF3C78D8"/>
      </left>
      <right style="medium">
        <color rgb="FF3C78D8"/>
      </right>
      <top style="thin">
        <color rgb="FF3C78D8"/>
      </top>
    </border>
    <border>
      <left style="thin">
        <color rgb="FF3C78D8"/>
      </left>
      <right style="medium">
        <color rgb="FF3C78D8"/>
      </right>
      <top style="thin">
        <color rgb="FF3C78D8"/>
      </top>
      <bottom style="thin">
        <color rgb="FF3C78D8"/>
      </bottom>
    </border>
    <border>
      <left style="thin">
        <color rgb="FF1155CC"/>
      </left>
      <right style="thin">
        <color rgb="FF1155CC"/>
      </right>
      <top style="thin">
        <color rgb="FF1155CC"/>
      </top>
    </border>
    <border>
      <left style="medium">
        <color rgb="FF3C78D8"/>
      </left>
      <right style="thin">
        <color rgb="FF3C78D8"/>
      </right>
      <bottom style="medium">
        <color rgb="FF3C78D8"/>
      </bottom>
    </border>
    <border>
      <left style="thin">
        <color rgb="FF3C78D8"/>
      </left>
      <right style="thin">
        <color rgb="FF3C78D8"/>
      </right>
      <bottom style="medium">
        <color rgb="FF3C78D8"/>
      </bottom>
    </border>
    <border>
      <left style="thin">
        <color rgb="FF3C78D8"/>
      </left>
      <right style="thin">
        <color rgb="FF3C78D8"/>
      </right>
      <top style="thin">
        <color rgb="FF3C78D8"/>
      </top>
      <bottom style="medium">
        <color rgb="FF3C78D8"/>
      </bottom>
    </border>
    <border>
      <left style="thin">
        <color rgb="FF3C78D8"/>
      </left>
      <right style="medium">
        <color rgb="FF3C78D8"/>
      </right>
      <bottom style="medium">
        <color rgb="FF3C78D8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3C78D8"/>
      </bottom>
    </border>
    <border>
      <left style="medium">
        <color rgb="FF1155CC"/>
      </left>
      <top style="medium">
        <color rgb="FF1155CC"/>
      </top>
      <bottom style="medium">
        <color rgb="FF1155CC"/>
      </bottom>
    </border>
    <border>
      <top style="medium">
        <color rgb="FF1155CC"/>
      </top>
      <bottom style="medium">
        <color rgb="FF1155CC"/>
      </bottom>
    </border>
    <border>
      <right style="medium">
        <color rgb="FF1155CC"/>
      </right>
      <top style="medium">
        <color rgb="FF1155CC"/>
      </top>
      <bottom style="medium">
        <color rgb="FF1155CC"/>
      </bottom>
    </border>
    <border>
      <left style="medium">
        <color rgb="FF990000"/>
      </left>
      <top style="medium">
        <color rgb="FF990000"/>
      </top>
      <bottom style="thin">
        <color rgb="FF000000"/>
      </bottom>
    </border>
    <border>
      <top style="medium">
        <color rgb="FF990000"/>
      </top>
      <bottom style="thin">
        <color rgb="FF000000"/>
      </bottom>
    </border>
    <border>
      <right style="thin">
        <color rgb="FF000000"/>
      </right>
      <top style="medium">
        <color rgb="FF990000"/>
      </top>
      <bottom style="thin">
        <color rgb="FF000000"/>
      </bottom>
    </border>
    <border>
      <left style="thin">
        <color rgb="FF000000"/>
      </left>
      <right style="medium">
        <color rgb="FF990000"/>
      </right>
      <top style="medium">
        <color rgb="FF990000"/>
      </top>
    </border>
    <border>
      <left style="medium">
        <color rgb="FF990000"/>
      </left>
      <top style="medium">
        <color rgb="FF990000"/>
      </top>
      <bottom style="medium">
        <color rgb="FF990000"/>
      </bottom>
    </border>
    <border>
      <top style="medium">
        <color rgb="FF990000"/>
      </top>
      <bottom style="medium">
        <color rgb="FF990000"/>
      </bottom>
    </border>
    <border>
      <right style="medium">
        <color rgb="FF990000"/>
      </right>
      <top style="medium">
        <color rgb="FF990000"/>
      </top>
      <bottom style="medium">
        <color rgb="FF990000"/>
      </bottom>
    </border>
    <border>
      <left style="medium">
        <color rgb="FF990000"/>
      </left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000000"/>
      </left>
      <right style="medium">
        <color rgb="FF990000"/>
      </right>
      <bottom style="thin">
        <color rgb="FFE06666"/>
      </bottom>
    </border>
    <border>
      <left style="medium">
        <color rgb="FF990000"/>
      </left>
      <right style="thin">
        <color rgb="FF990000"/>
      </right>
      <bottom style="thin">
        <color rgb="FF990000"/>
      </bottom>
    </border>
    <border>
      <left style="thin">
        <color rgb="FF990000"/>
      </left>
      <right style="thin">
        <color rgb="FF990000"/>
      </right>
      <bottom style="thin">
        <color rgb="FF990000"/>
      </bottom>
    </border>
    <border>
      <left style="thin">
        <color rgb="FF990000"/>
      </left>
      <right style="medium">
        <color rgb="FF990000"/>
      </right>
      <bottom style="thin">
        <color rgb="FF990000"/>
      </bottom>
    </border>
    <border>
      <left style="medium">
        <color rgb="FF990000"/>
      </left>
      <right style="thin">
        <color rgb="FF660000"/>
      </right>
      <top style="thin">
        <color rgb="FF660000"/>
      </top>
      <bottom style="thin">
        <color rgb="FF660000"/>
      </bottom>
    </border>
    <border>
      <left style="thin">
        <color rgb="FF660000"/>
      </left>
      <right style="medium">
        <color rgb="FF990000"/>
      </right>
      <top style="thin">
        <color rgb="FF660000"/>
      </top>
      <bottom style="thin">
        <color rgb="FF660000"/>
      </bottom>
    </border>
    <border>
      <left style="medium">
        <color rgb="FF990000"/>
      </left>
      <right style="thin">
        <color rgb="FF990000"/>
      </right>
      <top style="thin">
        <color rgb="FF990000"/>
      </top>
      <bottom style="thin">
        <color rgb="FF990000"/>
      </bottom>
    </border>
    <border>
      <left style="thin">
        <color rgb="FF990000"/>
      </left>
      <right style="thin">
        <color rgb="FF990000"/>
      </right>
      <top style="thin">
        <color rgb="FF990000"/>
      </top>
      <bottom style="thin">
        <color rgb="FF990000"/>
      </bottom>
    </border>
    <border>
      <left style="thin">
        <color rgb="FF990000"/>
      </left>
      <right style="medium">
        <color rgb="FF990000"/>
      </right>
      <top style="thin">
        <color rgb="FF990000"/>
      </top>
      <bottom style="thin">
        <color rgb="FF990000"/>
      </bottom>
    </border>
    <border>
      <left style="medium">
        <color rgb="FF990000"/>
      </left>
      <right style="thin">
        <color rgb="FF660000"/>
      </right>
      <top style="thin">
        <color rgb="FF660000"/>
      </top>
      <bottom style="medium">
        <color rgb="FF990000"/>
      </bottom>
    </border>
    <border>
      <left style="thin">
        <color rgb="FF660000"/>
      </left>
      <right style="thin">
        <color rgb="FF660000"/>
      </right>
      <bottom style="medium">
        <color rgb="FF990000"/>
      </bottom>
    </border>
    <border>
      <left style="thin">
        <color rgb="FF660000"/>
      </left>
      <right style="thin">
        <color rgb="FF660000"/>
      </right>
      <top style="thin">
        <color rgb="FF000000"/>
      </top>
      <bottom style="medium">
        <color rgb="FF990000"/>
      </bottom>
    </border>
    <border>
      <left style="thin">
        <color rgb="FF660000"/>
      </left>
      <right style="thin">
        <color rgb="FF660000"/>
      </right>
      <top style="thin">
        <color rgb="FF660000"/>
      </top>
      <bottom style="medium">
        <color rgb="FF990000"/>
      </bottom>
    </border>
    <border>
      <left style="thin">
        <color rgb="FF660000"/>
      </left>
      <right style="medium">
        <color rgb="FF990000"/>
      </right>
      <top style="thin">
        <color rgb="FF660000"/>
      </top>
      <bottom style="medium">
        <color rgb="FF990000"/>
      </bottom>
    </border>
    <border>
      <left style="medium">
        <color rgb="FF990000"/>
      </left>
      <right style="thin">
        <color rgb="FF990000"/>
      </right>
      <top style="thin">
        <color rgb="FF990000"/>
      </top>
      <bottom style="medium">
        <color rgb="FF990000"/>
      </bottom>
    </border>
    <border>
      <left style="thin">
        <color rgb="FF990000"/>
      </left>
      <right style="thin">
        <color rgb="FF990000"/>
      </right>
      <top style="thin">
        <color rgb="FF990000"/>
      </top>
      <bottom style="medium">
        <color rgb="FF990000"/>
      </bottom>
    </border>
    <border>
      <left style="thin">
        <color rgb="FF990000"/>
      </left>
      <right style="medium">
        <color rgb="FF990000"/>
      </right>
      <top style="thin">
        <color rgb="FF990000"/>
      </top>
      <bottom style="medium">
        <color rgb="FF990000"/>
      </bottom>
    </border>
    <border>
      <left style="medium">
        <color rgb="FF990000"/>
      </left>
      <right style="thin">
        <color rgb="FFE06666"/>
      </right>
      <bottom style="thin">
        <color rgb="FFE06666"/>
      </bottom>
    </border>
    <border>
      <left style="medium">
        <color rgb="FFCC0000"/>
      </left>
      <right style="thin">
        <color rgb="FFE06666"/>
      </right>
      <bottom style="thin">
        <color rgb="FFE06666"/>
      </bottom>
    </border>
    <border>
      <left style="thin">
        <color rgb="FFE06666"/>
      </left>
      <bottom style="thin">
        <color rgb="FFE06666"/>
      </bottom>
    </border>
    <border>
      <left style="thin">
        <color rgb="FF660000"/>
      </left>
      <right style="medium">
        <color rgb="FF990000"/>
      </right>
      <bottom style="thin">
        <color rgb="FF660000"/>
      </bottom>
    </border>
    <border>
      <left style="thin">
        <color rgb="FF7F6000"/>
      </left>
      <top style="thin">
        <color rgb="FF7F6000"/>
      </top>
      <bottom style="thin">
        <color rgb="FF7F6000"/>
      </bottom>
    </border>
    <border>
      <top style="thin">
        <color rgb="FF7F6000"/>
      </top>
      <bottom style="thin">
        <color rgb="FF7F6000"/>
      </bottom>
    </border>
    <border>
      <right style="thin">
        <color rgb="FF7F6000"/>
      </right>
      <top style="thin">
        <color rgb="FF7F6000"/>
      </top>
      <bottom style="thin">
        <color rgb="FF7F6000"/>
      </bottom>
    </border>
    <border>
      <left style="thin">
        <color rgb="FF7F6000"/>
      </left>
      <right style="medium">
        <color rgb="FF7F6000"/>
      </right>
      <top style="thin">
        <color rgb="FF7F6000"/>
      </top>
      <bottom style="thin">
        <color rgb="FF7F6000"/>
      </bottom>
    </border>
    <border>
      <left style="thin">
        <color rgb="FF7F6000"/>
      </left>
      <right style="medium">
        <color rgb="FF7F6000"/>
      </right>
      <top style="thin">
        <color rgb="FF7F6000"/>
      </top>
      <bottom style="medium">
        <color rgb="FF7F6000"/>
      </bottom>
    </border>
    <border>
      <left style="medium">
        <color rgb="FFDD7E6B"/>
      </left>
      <top style="medium">
        <color rgb="FFDD7E6B"/>
      </top>
      <bottom style="medium">
        <color rgb="FFDD7E6B"/>
      </bottom>
    </border>
    <border>
      <top style="medium">
        <color rgb="FFDD7E6B"/>
      </top>
      <bottom style="medium">
        <color rgb="FFDD7E6B"/>
      </bottom>
    </border>
    <border>
      <right style="medium">
        <color rgb="FFDD7E6B"/>
      </right>
      <top style="medium">
        <color rgb="FFDD7E6B"/>
      </top>
      <bottom style="medium">
        <color rgb="FFDD7E6B"/>
      </bottom>
    </border>
    <border>
      <left style="medium">
        <color rgb="FFDD7E6B"/>
      </left>
      <right style="medium">
        <color rgb="FFDD7E6B"/>
      </right>
      <top style="medium">
        <color rgb="FFDD7E6B"/>
      </top>
      <bottom style="medium">
        <color rgb="FFDD7E6B"/>
      </bottom>
    </border>
    <border>
      <left style="medium">
        <color rgb="FFDD7E6B"/>
      </left>
      <right style="thin">
        <color rgb="FFDD7E6B"/>
      </right>
      <bottom style="thin">
        <color rgb="FFDD7E6B"/>
      </bottom>
    </border>
    <border>
      <left style="thin">
        <color rgb="FFDD7E6B"/>
      </left>
      <right style="thin">
        <color rgb="FFDD7E6B"/>
      </right>
      <bottom style="thin">
        <color rgb="FFDD7E6B"/>
      </bottom>
    </border>
    <border>
      <left style="thin">
        <color rgb="FFDD7E6B"/>
      </left>
      <right style="medium">
        <color rgb="FFDD7E6B"/>
      </right>
      <bottom style="thin">
        <color rgb="FFDD7E6B"/>
      </bottom>
    </border>
    <border>
      <left style="medium">
        <color rgb="FFDD7E6B"/>
      </left>
      <right style="thin">
        <color rgb="FFDD7E6B"/>
      </right>
      <top style="thin">
        <color rgb="FFDD7E6B"/>
      </top>
      <bottom style="thin">
        <color rgb="FFDD7E6B"/>
      </bottom>
    </border>
    <border>
      <left style="thin">
        <color rgb="FFDD7E6B"/>
      </left>
      <right style="thin">
        <color rgb="FFDD7E6B"/>
      </right>
      <top style="thin">
        <color rgb="FFDD7E6B"/>
      </top>
      <bottom style="thin">
        <color rgb="FFDD7E6B"/>
      </bottom>
    </border>
    <border>
      <left style="thin">
        <color rgb="FFDD7E6B"/>
      </left>
      <right style="medium">
        <color rgb="FFDD7E6B"/>
      </right>
      <top style="thin">
        <color rgb="FFDD7E6B"/>
      </top>
      <bottom style="thin">
        <color rgb="FFDD7E6B"/>
      </bottom>
    </border>
    <border>
      <left style="medium">
        <color rgb="FFDD7E6B"/>
      </left>
      <right style="thin">
        <color rgb="FFDD7E6B"/>
      </right>
      <top style="thin">
        <color rgb="FFDD7E6B"/>
      </top>
    </border>
    <border>
      <left style="thin">
        <color rgb="FFDD7E6B"/>
      </left>
      <right style="thin">
        <color rgb="FFDD7E6B"/>
      </right>
      <top style="thin">
        <color rgb="FFDD7E6B"/>
      </top>
    </border>
    <border>
      <left style="thin">
        <color rgb="FFDD7E6B"/>
      </left>
      <right style="medium">
        <color rgb="FFDD7E6B"/>
      </right>
      <top style="thin">
        <color rgb="FFDD7E6B"/>
      </top>
    </border>
  </borders>
  <cellStyleXfs count="1">
    <xf borderId="0" fillId="0" fontId="0" numFmtId="0" applyAlignment="1" applyFont="1"/>
  </cellStyleXfs>
  <cellXfs count="5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5" fillId="3" fontId="4" numFmtId="0" xfId="0" applyAlignment="1" applyBorder="1" applyFont="1">
      <alignment horizontal="center" readingOrder="0" vertical="center"/>
    </xf>
    <xf borderId="5" fillId="3" fontId="4" numFmtId="49" xfId="0" applyAlignment="1" applyBorder="1" applyFont="1" applyNumberForma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5" fillId="3" fontId="4" numFmtId="49" xfId="0" applyAlignment="1" applyBorder="1" applyFont="1" applyNumberFormat="1">
      <alignment horizontal="center" readingOrder="0" vertical="center"/>
    </xf>
    <xf borderId="6" fillId="3" fontId="4" numFmtId="0" xfId="0" applyAlignment="1" applyBorder="1" applyFont="1">
      <alignment horizontal="center" readingOrder="0" vertical="center"/>
    </xf>
    <xf borderId="7" fillId="4" fontId="5" numFmtId="0" xfId="0" applyAlignment="1" applyBorder="1" applyFill="1" applyFont="1">
      <alignment horizontal="center" readingOrder="0" vertical="center"/>
    </xf>
    <xf borderId="8" fillId="4" fontId="6" numFmtId="0" xfId="0" applyAlignment="1" applyBorder="1" applyFont="1">
      <alignment horizontal="center" readingOrder="0" shrinkToFit="0" vertical="center" wrapText="1"/>
    </xf>
    <xf borderId="8" fillId="4" fontId="7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8" fillId="4" fontId="8" numFmtId="165" xfId="0" applyAlignment="1" applyBorder="1" applyFont="1" applyNumberFormat="1">
      <alignment readingOrder="0" vertical="center"/>
    </xf>
    <xf borderId="8" fillId="5" fontId="7" numFmtId="165" xfId="0" applyAlignment="1" applyBorder="1" applyFill="1" applyFont="1" applyNumberFormat="1">
      <alignment horizontal="center" readingOrder="0" vertical="center"/>
    </xf>
    <xf borderId="8" fillId="5" fontId="7" numFmtId="0" xfId="0" applyAlignment="1" applyBorder="1" applyFont="1">
      <alignment horizontal="center" readingOrder="0" vertical="center"/>
    </xf>
    <xf borderId="9" fillId="5" fontId="7" numFmtId="0" xfId="0" applyAlignment="1" applyBorder="1" applyFont="1">
      <alignment horizontal="center" readingOrder="0" vertical="center"/>
    </xf>
    <xf borderId="8" fillId="4" fontId="7" numFmtId="0" xfId="0" applyAlignment="1" applyBorder="1" applyFont="1">
      <alignment horizontal="center" readingOrder="0" vertical="center"/>
    </xf>
    <xf borderId="7" fillId="5" fontId="5" numFmtId="0" xfId="0" applyAlignment="1" applyBorder="1" applyFont="1">
      <alignment horizontal="center" readingOrder="0" vertical="center"/>
    </xf>
    <xf borderId="8" fillId="5" fontId="6" numFmtId="0" xfId="0" applyAlignment="1" applyBorder="1" applyFont="1">
      <alignment horizontal="center" readingOrder="0" shrinkToFit="0" vertical="center" wrapText="1"/>
    </xf>
    <xf borderId="8" fillId="5" fontId="7" numFmtId="0" xfId="0" applyAlignment="1" applyBorder="1" applyFont="1">
      <alignment horizontal="center" readingOrder="0" shrinkToFit="0" vertical="center" wrapText="1"/>
    </xf>
    <xf borderId="8" fillId="5" fontId="5" numFmtId="0" xfId="0" applyAlignment="1" applyBorder="1" applyFont="1">
      <alignment horizontal="center" readingOrder="0" shrinkToFit="0" vertical="center" wrapText="1"/>
    </xf>
    <xf borderId="8" fillId="5" fontId="8" numFmtId="165" xfId="0" applyAlignment="1" applyBorder="1" applyFont="1" applyNumberFormat="1">
      <alignment readingOrder="0" vertical="center"/>
    </xf>
    <xf borderId="8" fillId="4" fontId="6" numFmtId="0" xfId="0" applyAlignment="1" applyBorder="1" applyFont="1">
      <alignment horizontal="center" readingOrder="0" vertical="center"/>
    </xf>
    <xf borderId="9" fillId="5" fontId="7" numFmtId="0" xfId="0" applyAlignment="1" applyBorder="1" applyFont="1">
      <alignment horizontal="center" vertical="center"/>
    </xf>
    <xf borderId="7" fillId="4" fontId="5" numFmtId="166" xfId="0" applyAlignment="1" applyBorder="1" applyFont="1" applyNumberFormat="1">
      <alignment horizontal="center" readingOrder="0" vertical="center"/>
    </xf>
    <xf borderId="7" fillId="4" fontId="5" numFmtId="167" xfId="0" applyAlignment="1" applyBorder="1" applyFont="1" applyNumberFormat="1">
      <alignment horizontal="center" readingOrder="0" vertical="center"/>
    </xf>
    <xf borderId="0" fillId="5" fontId="9" numFmtId="0" xfId="0" applyFont="1"/>
    <xf borderId="10" fillId="0" fontId="5" numFmtId="0" xfId="0" applyBorder="1" applyFont="1"/>
    <xf borderId="11" fillId="0" fontId="10" numFmtId="0" xfId="0" applyAlignment="1" applyBorder="1" applyFont="1">
      <alignment horizontal="center" vertical="center"/>
    </xf>
    <xf borderId="11" fillId="0" fontId="5" numFmtId="0" xfId="0" applyAlignment="1" applyBorder="1" applyFont="1">
      <alignment vertical="center"/>
    </xf>
    <xf borderId="11" fillId="0" fontId="11" numFmtId="165" xfId="0" applyAlignment="1" applyBorder="1" applyFont="1" applyNumberFormat="1">
      <alignment vertical="center"/>
    </xf>
    <xf borderId="11" fillId="0" fontId="11" numFmtId="0" xfId="0" applyBorder="1" applyFont="1"/>
    <xf borderId="11" fillId="0" fontId="11" numFmtId="165" xfId="0" applyBorder="1" applyFont="1" applyNumberFormat="1"/>
    <xf borderId="11" fillId="0" fontId="7" numFmtId="0" xfId="0" applyBorder="1" applyFont="1"/>
    <xf borderId="12" fillId="0" fontId="7" numFmtId="0" xfId="0" applyBorder="1" applyFont="1"/>
    <xf borderId="0" fillId="0" fontId="1" numFmtId="0" xfId="0" applyAlignment="1" applyFont="1">
      <alignment readingOrder="0" shrinkToFit="0" wrapText="1"/>
    </xf>
    <xf borderId="13" fillId="6" fontId="12" numFmtId="164" xfId="0" applyAlignment="1" applyBorder="1" applyFill="1" applyFont="1" applyNumberForma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7" fontId="13" numFmtId="0" xfId="0" applyAlignment="1" applyBorder="1" applyFill="1" applyFont="1">
      <alignment horizontal="center" readingOrder="0" vertical="center"/>
    </xf>
    <xf borderId="17" fillId="7" fontId="13" numFmtId="0" xfId="0" applyAlignment="1" applyBorder="1" applyFont="1">
      <alignment horizontal="center" readingOrder="0" vertical="center"/>
    </xf>
    <xf borderId="17" fillId="7" fontId="13" numFmtId="49" xfId="0" applyAlignment="1" applyBorder="1" applyFont="1" applyNumberFormat="1">
      <alignment horizontal="center" readingOrder="0" shrinkToFit="0" vertical="center" wrapText="1"/>
    </xf>
    <xf borderId="17" fillId="7" fontId="13" numFmtId="0" xfId="0" applyAlignment="1" applyBorder="1" applyFont="1">
      <alignment horizontal="center" readingOrder="0" shrinkToFit="0" vertical="center" wrapText="1"/>
    </xf>
    <xf borderId="17" fillId="7" fontId="13" numFmtId="49" xfId="0" applyAlignment="1" applyBorder="1" applyFont="1" applyNumberFormat="1">
      <alignment horizontal="center" readingOrder="0" vertical="center"/>
    </xf>
    <xf borderId="18" fillId="7" fontId="13" numFmtId="0" xfId="0" applyAlignment="1" applyBorder="1" applyFont="1">
      <alignment horizontal="center" readingOrder="0" vertical="center"/>
    </xf>
    <xf borderId="19" fillId="8" fontId="14" numFmtId="0" xfId="0" applyAlignment="1" applyBorder="1" applyFill="1" applyFont="1">
      <alignment horizontal="center" readingOrder="0" vertical="center"/>
    </xf>
    <xf borderId="20" fillId="8" fontId="15" numFmtId="0" xfId="0" applyAlignment="1" applyBorder="1" applyFont="1">
      <alignment horizontal="center" readingOrder="0" shrinkToFit="0" vertical="center" wrapText="1"/>
    </xf>
    <xf borderId="20" fillId="8" fontId="16" numFmtId="0" xfId="0" applyAlignment="1" applyBorder="1" applyFont="1">
      <alignment horizontal="center" readingOrder="0" shrinkToFit="0" vertical="center" wrapText="1"/>
    </xf>
    <xf borderId="20" fillId="8" fontId="17" numFmtId="0" xfId="0" applyAlignment="1" applyBorder="1" applyFont="1">
      <alignment horizontal="center" readingOrder="0" shrinkToFit="0" vertical="center" wrapText="1"/>
    </xf>
    <xf borderId="20" fillId="8" fontId="15" numFmtId="165" xfId="0" applyAlignment="1" applyBorder="1" applyFont="1" applyNumberFormat="1">
      <alignment readingOrder="0" vertical="center"/>
    </xf>
    <xf borderId="20" fillId="5" fontId="16" numFmtId="165" xfId="0" applyAlignment="1" applyBorder="1" applyFont="1" applyNumberFormat="1">
      <alignment horizontal="center" readingOrder="0" vertical="center"/>
    </xf>
    <xf borderId="20" fillId="5" fontId="16" numFmtId="0" xfId="0" applyAlignment="1" applyBorder="1" applyFont="1">
      <alignment horizontal="center" readingOrder="0" vertical="center"/>
    </xf>
    <xf borderId="21" fillId="5" fontId="16" numFmtId="0" xfId="0" applyAlignment="1" applyBorder="1" applyFont="1">
      <alignment horizontal="center" readingOrder="0" vertical="center"/>
    </xf>
    <xf borderId="22" fillId="8" fontId="14" numFmtId="0" xfId="0" applyAlignment="1" applyBorder="1" applyFont="1">
      <alignment horizontal="center" readingOrder="0" vertical="center"/>
    </xf>
    <xf borderId="23" fillId="8" fontId="15" numFmtId="0" xfId="0" applyAlignment="1" applyBorder="1" applyFont="1">
      <alignment horizontal="center" readingOrder="0" shrinkToFit="0" vertical="center" wrapText="1"/>
    </xf>
    <xf borderId="23" fillId="8" fontId="16" numFmtId="0" xfId="0" applyAlignment="1" applyBorder="1" applyFont="1">
      <alignment horizontal="center" readingOrder="0" vertical="center"/>
    </xf>
    <xf borderId="23" fillId="8" fontId="17" numFmtId="0" xfId="0" applyAlignment="1" applyBorder="1" applyFont="1">
      <alignment horizontal="center" readingOrder="0" shrinkToFit="0" vertical="center" wrapText="1"/>
    </xf>
    <xf borderId="23" fillId="8" fontId="15" numFmtId="165" xfId="0" applyAlignment="1" applyBorder="1" applyFont="1" applyNumberFormat="1">
      <alignment readingOrder="0" vertical="center"/>
    </xf>
    <xf borderId="23" fillId="8" fontId="16" numFmtId="0" xfId="0" applyAlignment="1" applyBorder="1" applyFont="1">
      <alignment horizontal="center" readingOrder="0" shrinkToFit="0" vertical="center" wrapText="1"/>
    </xf>
    <xf borderId="23" fillId="8" fontId="16" numFmtId="165" xfId="0" applyAlignment="1" applyBorder="1" applyFont="1" applyNumberFormat="1">
      <alignment horizontal="center" readingOrder="0" vertical="center"/>
    </xf>
    <xf borderId="23" fillId="5" fontId="16" numFmtId="0" xfId="0" applyAlignment="1" applyBorder="1" applyFont="1">
      <alignment horizontal="center" readingOrder="0" vertical="center"/>
    </xf>
    <xf borderId="24" fillId="5" fontId="16" numFmtId="0" xfId="0" applyAlignment="1" applyBorder="1" applyFont="1">
      <alignment horizontal="center" readingOrder="0" vertical="center"/>
    </xf>
    <xf borderId="23" fillId="5" fontId="16" numFmtId="165" xfId="0" applyAlignment="1" applyBorder="1" applyFont="1" applyNumberFormat="1">
      <alignment horizontal="center" readingOrder="0" vertical="center"/>
    </xf>
    <xf borderId="23" fillId="8" fontId="15" numFmtId="0" xfId="0" applyAlignment="1" applyBorder="1" applyFont="1">
      <alignment horizontal="center" readingOrder="0" vertical="center"/>
    </xf>
    <xf borderId="24" fillId="5" fontId="16" numFmtId="0" xfId="0" applyAlignment="1" applyBorder="1" applyFont="1">
      <alignment horizontal="center" vertical="center"/>
    </xf>
    <xf borderId="22" fillId="8" fontId="14" numFmtId="166" xfId="0" applyAlignment="1" applyBorder="1" applyFont="1" applyNumberFormat="1">
      <alignment horizontal="center" readingOrder="0" vertical="center"/>
    </xf>
    <xf borderId="22" fillId="8" fontId="14" numFmtId="167" xfId="0" applyAlignment="1" applyBorder="1" applyFont="1" applyNumberFormat="1">
      <alignment horizontal="center" readingOrder="0" vertical="center"/>
    </xf>
    <xf borderId="23" fillId="5" fontId="16" numFmtId="165" xfId="0" applyAlignment="1" applyBorder="1" applyFont="1" applyNumberFormat="1">
      <alignment horizontal="center" vertical="center"/>
    </xf>
    <xf borderId="23" fillId="5" fontId="16" numFmtId="0" xfId="0" applyAlignment="1" applyBorder="1" applyFont="1">
      <alignment horizontal="center" vertical="center"/>
    </xf>
    <xf borderId="22" fillId="5" fontId="14" numFmtId="0" xfId="0" applyAlignment="1" applyBorder="1" applyFont="1">
      <alignment horizontal="center" readingOrder="0" vertical="center"/>
    </xf>
    <xf borderId="23" fillId="5" fontId="15" numFmtId="0" xfId="0" applyAlignment="1" applyBorder="1" applyFont="1">
      <alignment horizontal="center" readingOrder="0" shrinkToFit="0" vertical="center" wrapText="1"/>
    </xf>
    <xf borderId="23" fillId="5" fontId="16" numFmtId="0" xfId="0" applyAlignment="1" applyBorder="1" applyFont="1">
      <alignment horizontal="center" readingOrder="0" shrinkToFit="0" vertical="center" wrapText="1"/>
    </xf>
    <xf borderId="23" fillId="5" fontId="17" numFmtId="0" xfId="0" applyAlignment="1" applyBorder="1" applyFont="1">
      <alignment horizontal="center" readingOrder="0" shrinkToFit="0" vertical="center" wrapText="1"/>
    </xf>
    <xf borderId="23" fillId="5" fontId="15" numFmtId="165" xfId="0" applyAlignment="1" applyBorder="1" applyFont="1" applyNumberFormat="1">
      <alignment readingOrder="0" vertical="center"/>
    </xf>
    <xf borderId="25" fillId="8" fontId="16" numFmtId="0" xfId="0" applyAlignment="1" applyBorder="1" applyFont="1">
      <alignment horizontal="center" readingOrder="0" shrinkToFit="0" vertical="center" wrapText="1"/>
    </xf>
    <xf borderId="26" fillId="8" fontId="16" numFmtId="0" xfId="0" applyAlignment="1" applyBorder="1" applyFont="1">
      <alignment horizontal="center" readingOrder="0" shrinkToFit="0" vertical="center" wrapText="1"/>
    </xf>
    <xf borderId="26" fillId="8" fontId="17" numFmtId="0" xfId="0" applyAlignment="1" applyBorder="1" applyFont="1">
      <alignment horizontal="center" readingOrder="0" shrinkToFit="0" vertical="center" wrapText="1"/>
    </xf>
    <xf borderId="26" fillId="8" fontId="15" numFmtId="165" xfId="0" applyAlignment="1" applyBorder="1" applyFont="1" applyNumberFormat="1">
      <alignment horizontal="center" readingOrder="0" vertical="center"/>
    </xf>
    <xf borderId="26" fillId="8" fontId="16" numFmtId="0" xfId="0" applyAlignment="1" applyBorder="1" applyFont="1">
      <alignment horizontal="center" readingOrder="0" vertical="center"/>
    </xf>
    <xf borderId="26" fillId="0" fontId="16" numFmtId="165" xfId="0" applyAlignment="1" applyBorder="1" applyFont="1" applyNumberFormat="1">
      <alignment horizontal="center" readingOrder="0" vertical="center"/>
    </xf>
    <xf borderId="27" fillId="0" fontId="16" numFmtId="0" xfId="0" applyAlignment="1" applyBorder="1" applyFont="1">
      <alignment horizontal="center" readingOrder="0" vertical="center"/>
    </xf>
    <xf borderId="28" fillId="0" fontId="16" numFmtId="0" xfId="0" applyAlignment="1" applyBorder="1" applyFont="1">
      <alignment horizontal="center" readingOrder="0" vertical="center"/>
    </xf>
    <xf borderId="29" fillId="0" fontId="16" numFmtId="0" xfId="0" applyAlignment="1" applyBorder="1" applyFont="1">
      <alignment horizontal="center" readingOrder="0" vertical="center"/>
    </xf>
    <xf borderId="30" fillId="0" fontId="14" numFmtId="167" xfId="0" applyAlignment="1" applyBorder="1" applyFont="1" applyNumberFormat="1">
      <alignment horizontal="center" readingOrder="0" vertical="center"/>
    </xf>
    <xf borderId="28" fillId="0" fontId="15" numFmtId="0" xfId="0" applyAlignment="1" applyBorder="1" applyFont="1">
      <alignment horizontal="center" readingOrder="0" vertical="center"/>
    </xf>
    <xf borderId="31" fillId="0" fontId="16" numFmtId="0" xfId="0" applyAlignment="1" applyBorder="1" applyFont="1">
      <alignment horizontal="center" readingOrder="0" vertical="center"/>
    </xf>
    <xf borderId="32" fillId="0" fontId="16" numFmtId="0" xfId="0" applyAlignment="1" applyBorder="1" applyFont="1">
      <alignment horizontal="center" readingOrder="0" vertical="center"/>
    </xf>
    <xf borderId="32" fillId="0" fontId="17" numFmtId="0" xfId="0" applyAlignment="1" applyBorder="1" applyFont="1">
      <alignment horizontal="center" readingOrder="0" shrinkToFit="0" vertical="center" wrapText="1"/>
    </xf>
    <xf borderId="32" fillId="0" fontId="17" numFmtId="0" xfId="0" applyAlignment="1" applyBorder="1" applyFont="1">
      <alignment horizontal="center" vertical="center"/>
    </xf>
    <xf borderId="32" fillId="8" fontId="15" numFmtId="165" xfId="0" applyAlignment="1" applyBorder="1" applyFont="1" applyNumberFormat="1">
      <alignment horizontal="center" readingOrder="0" vertical="center"/>
    </xf>
    <xf borderId="32" fillId="8" fontId="16" numFmtId="0" xfId="0" applyAlignment="1" applyBorder="1" applyFont="1">
      <alignment horizontal="center" readingOrder="0" vertical="center"/>
    </xf>
    <xf borderId="32" fillId="0" fontId="16" numFmtId="165" xfId="0" applyAlignment="1" applyBorder="1" applyFont="1" applyNumberFormat="1">
      <alignment horizontal="center" vertical="center"/>
    </xf>
    <xf borderId="33" fillId="0" fontId="16" numFmtId="0" xfId="0" applyAlignment="1" applyBorder="1" applyFont="1">
      <alignment horizontal="center" vertical="center"/>
    </xf>
    <xf borderId="28" fillId="0" fontId="16" numFmtId="0" xfId="0" applyAlignment="1" applyBorder="1" applyFont="1">
      <alignment horizontal="center" vertical="center"/>
    </xf>
    <xf borderId="29" fillId="0" fontId="16" numFmtId="0" xfId="0" applyAlignment="1" applyBorder="1" applyFont="1">
      <alignment horizontal="center" vertical="center"/>
    </xf>
    <xf borderId="30" fillId="0" fontId="14" numFmtId="0" xfId="0" applyAlignment="1" applyBorder="1" applyFont="1">
      <alignment horizontal="center" readingOrder="0" vertical="center"/>
    </xf>
    <xf borderId="25" fillId="0" fontId="15" numFmtId="0" xfId="0" applyAlignment="1" applyBorder="1" applyFont="1">
      <alignment horizontal="center" readingOrder="0" vertical="center"/>
    </xf>
    <xf borderId="32" fillId="8" fontId="15" numFmtId="165" xfId="0" applyAlignment="1" applyBorder="1" applyFont="1" applyNumberFormat="1">
      <alignment horizontal="center" readingOrder="0" vertical="center"/>
    </xf>
    <xf borderId="32" fillId="0" fontId="16" numFmtId="0" xfId="0" applyAlignment="1" applyBorder="1" applyFont="1">
      <alignment horizontal="center" vertical="center"/>
    </xf>
    <xf borderId="26" fillId="0" fontId="16" numFmtId="0" xfId="0" applyAlignment="1" applyBorder="1" applyFont="1">
      <alignment horizontal="center" vertical="center"/>
    </xf>
    <xf borderId="34" fillId="0" fontId="16" numFmtId="0" xfId="0" applyAlignment="1" applyBorder="1" applyFont="1">
      <alignment horizontal="center" vertical="center"/>
    </xf>
    <xf borderId="22" fillId="0" fontId="14" numFmtId="0" xfId="0" applyAlignment="1" applyBorder="1" applyFont="1">
      <alignment horizontal="center" readingOrder="0" vertical="center"/>
    </xf>
    <xf borderId="31" fillId="0" fontId="15" numFmtId="0" xfId="0" applyAlignment="1" applyBorder="1" applyFont="1">
      <alignment horizontal="center" readingOrder="0" shrinkToFit="0" vertical="center" wrapText="1"/>
    </xf>
    <xf borderId="32" fillId="0" fontId="18" numFmtId="0" xfId="0" applyAlignment="1" applyBorder="1" applyFont="1">
      <alignment horizontal="center" readingOrder="0" vertical="center"/>
    </xf>
    <xf borderId="32" fillId="0" fontId="18" numFmtId="0" xfId="0" applyAlignment="1" applyBorder="1" applyFont="1">
      <alignment horizontal="center" vertical="center"/>
    </xf>
    <xf borderId="35" fillId="0" fontId="16" numFmtId="0" xfId="0" applyAlignment="1" applyBorder="1" applyFont="1">
      <alignment horizontal="center" vertical="center"/>
    </xf>
    <xf borderId="31" fillId="0" fontId="15" numFmtId="0" xfId="0" applyAlignment="1" applyBorder="1" applyFont="1">
      <alignment horizontal="center" readingOrder="0" vertical="center"/>
    </xf>
    <xf borderId="32" fillId="0" fontId="18" numFmtId="0" xfId="0" applyAlignment="1" applyBorder="1" applyFont="1">
      <alignment horizontal="center" readingOrder="0" shrinkToFit="0" vertical="center" wrapText="1"/>
    </xf>
    <xf borderId="32" fillId="0" fontId="15" numFmtId="165" xfId="0" applyAlignment="1" applyBorder="1" applyFont="1" applyNumberFormat="1">
      <alignment horizontal="center" readingOrder="0" vertical="center"/>
    </xf>
    <xf borderId="36" fillId="0" fontId="14" numFmtId="0" xfId="0" applyAlignment="1" applyBorder="1" applyFont="1">
      <alignment horizontal="center" readingOrder="0" vertical="center"/>
    </xf>
    <xf borderId="37" fillId="0" fontId="15" numFmtId="0" xfId="0" applyAlignment="1" applyBorder="1" applyFont="1">
      <alignment horizontal="center" readingOrder="0" vertical="center"/>
    </xf>
    <xf borderId="38" fillId="0" fontId="16" numFmtId="0" xfId="0" applyAlignment="1" applyBorder="1" applyFont="1">
      <alignment horizontal="center" readingOrder="0" vertical="center"/>
    </xf>
    <xf borderId="38" fillId="0" fontId="18" numFmtId="0" xfId="0" applyAlignment="1" applyBorder="1" applyFont="1">
      <alignment horizontal="center" readingOrder="0" shrinkToFit="0" vertical="center" wrapText="1"/>
    </xf>
    <xf borderId="38" fillId="0" fontId="18" numFmtId="0" xfId="0" applyAlignment="1" applyBorder="1" applyFont="1">
      <alignment horizontal="center" vertical="center"/>
    </xf>
    <xf borderId="38" fillId="0" fontId="15" numFmtId="165" xfId="0" applyAlignment="1" applyBorder="1" applyFont="1" applyNumberFormat="1">
      <alignment horizontal="center" readingOrder="0" vertical="center"/>
    </xf>
    <xf borderId="38" fillId="0" fontId="16" numFmtId="0" xfId="0" applyAlignment="1" applyBorder="1" applyFont="1">
      <alignment horizontal="center" vertical="center"/>
    </xf>
    <xf borderId="39" fillId="0" fontId="16" numFmtId="0" xfId="0" applyAlignment="1" applyBorder="1" applyFont="1">
      <alignment horizontal="center" vertical="center"/>
    </xf>
    <xf borderId="13" fillId="9" fontId="12" numFmtId="164" xfId="0" applyAlignment="1" applyBorder="1" applyFill="1" applyFont="1" applyNumberFormat="1">
      <alignment horizontal="center" readingOrder="0" shrinkToFit="0" vertical="center" wrapText="1"/>
    </xf>
    <xf borderId="16" fillId="10" fontId="13" numFmtId="0" xfId="0" applyAlignment="1" applyBorder="1" applyFill="1" applyFont="1">
      <alignment horizontal="center" readingOrder="0" vertical="center"/>
    </xf>
    <xf borderId="17" fillId="10" fontId="13" numFmtId="0" xfId="0" applyAlignment="1" applyBorder="1" applyFont="1">
      <alignment horizontal="center" readingOrder="0" vertical="center"/>
    </xf>
    <xf borderId="17" fillId="10" fontId="13" numFmtId="49" xfId="0" applyAlignment="1" applyBorder="1" applyFont="1" applyNumberFormat="1">
      <alignment horizontal="center" readingOrder="0" shrinkToFit="0" vertical="center" wrapText="1"/>
    </xf>
    <xf borderId="17" fillId="10" fontId="13" numFmtId="0" xfId="0" applyAlignment="1" applyBorder="1" applyFont="1">
      <alignment horizontal="center" readingOrder="0" shrinkToFit="0" vertical="center" wrapText="1"/>
    </xf>
    <xf borderId="17" fillId="10" fontId="13" numFmtId="49" xfId="0" applyAlignment="1" applyBorder="1" applyFont="1" applyNumberFormat="1">
      <alignment horizontal="center" readingOrder="0" vertical="center"/>
    </xf>
    <xf borderId="18" fillId="10" fontId="13" numFmtId="0" xfId="0" applyAlignment="1" applyBorder="1" applyFont="1">
      <alignment horizontal="center" readingOrder="0" vertical="center"/>
    </xf>
    <xf borderId="40" fillId="5" fontId="19" numFmtId="0" xfId="0" applyAlignment="1" applyBorder="1" applyFont="1">
      <alignment horizontal="center" readingOrder="0" vertical="center"/>
    </xf>
    <xf borderId="41" fillId="5" fontId="20" numFmtId="0" xfId="0" applyAlignment="1" applyBorder="1" applyFont="1">
      <alignment horizontal="center" readingOrder="0" shrinkToFit="0" vertical="center" wrapText="1"/>
    </xf>
    <xf borderId="41" fillId="5" fontId="21" numFmtId="0" xfId="0" applyAlignment="1" applyBorder="1" applyFont="1">
      <alignment horizontal="center" readingOrder="0" shrinkToFit="0" vertical="center" wrapText="1"/>
    </xf>
    <xf borderId="41" fillId="5" fontId="22" numFmtId="0" xfId="0" applyAlignment="1" applyBorder="1" applyFont="1">
      <alignment horizontal="center" readingOrder="0" shrinkToFit="0" vertical="center" wrapText="1"/>
    </xf>
    <xf borderId="41" fillId="5" fontId="20" numFmtId="165" xfId="0" applyAlignment="1" applyBorder="1" applyFont="1" applyNumberFormat="1">
      <alignment readingOrder="0" vertical="center"/>
    </xf>
    <xf borderId="41" fillId="8" fontId="21" numFmtId="0" xfId="0" applyAlignment="1" applyBorder="1" applyFont="1">
      <alignment horizontal="center" readingOrder="0" shrinkToFit="0" vertical="center" wrapText="1"/>
    </xf>
    <xf borderId="41" fillId="5" fontId="21" numFmtId="165" xfId="0" applyAlignment="1" applyBorder="1" applyFont="1" applyNumberFormat="1">
      <alignment horizontal="center" readingOrder="0" vertical="center"/>
    </xf>
    <xf borderId="41" fillId="5" fontId="21" numFmtId="0" xfId="0" applyAlignment="1" applyBorder="1" applyFont="1">
      <alignment horizontal="center" readingOrder="0" vertical="center"/>
    </xf>
    <xf borderId="42" fillId="5" fontId="21" numFmtId="0" xfId="0" applyAlignment="1" applyBorder="1" applyFont="1">
      <alignment horizontal="center" readingOrder="0" vertical="center"/>
    </xf>
    <xf borderId="43" fillId="5" fontId="19" numFmtId="0" xfId="0" applyAlignment="1" applyBorder="1" applyFont="1">
      <alignment horizontal="center" readingOrder="0" vertical="center"/>
    </xf>
    <xf borderId="44" fillId="5" fontId="20" numFmtId="0" xfId="0" applyAlignment="1" applyBorder="1" applyFont="1">
      <alignment horizontal="center" readingOrder="0" shrinkToFit="0" vertical="center" wrapText="1"/>
    </xf>
    <xf borderId="44" fillId="5" fontId="21" numFmtId="0" xfId="0" applyAlignment="1" applyBorder="1" applyFont="1">
      <alignment horizontal="center" readingOrder="0" vertical="center"/>
    </xf>
    <xf borderId="44" fillId="5" fontId="22" numFmtId="0" xfId="0" applyAlignment="1" applyBorder="1" applyFont="1">
      <alignment horizontal="center" readingOrder="0" shrinkToFit="0" vertical="center" wrapText="1"/>
    </xf>
    <xf borderId="44" fillId="5" fontId="20" numFmtId="165" xfId="0" applyAlignment="1" applyBorder="1" applyFont="1" applyNumberFormat="1">
      <alignment readingOrder="0" vertical="center"/>
    </xf>
    <xf borderId="44" fillId="8" fontId="21" numFmtId="0" xfId="0" applyAlignment="1" applyBorder="1" applyFont="1">
      <alignment horizontal="center" readingOrder="0" shrinkToFit="0" vertical="center" wrapText="1"/>
    </xf>
    <xf borderId="44" fillId="8" fontId="21" numFmtId="165" xfId="0" applyAlignment="1" applyBorder="1" applyFont="1" applyNumberFormat="1">
      <alignment horizontal="center" readingOrder="0" vertical="center"/>
    </xf>
    <xf borderId="45" fillId="5" fontId="21" numFmtId="0" xfId="0" applyAlignment="1" applyBorder="1" applyFont="1">
      <alignment horizontal="center" readingOrder="0" vertical="center"/>
    </xf>
    <xf borderId="44" fillId="5" fontId="21" numFmtId="0" xfId="0" applyAlignment="1" applyBorder="1" applyFont="1">
      <alignment horizontal="center" readingOrder="0" shrinkToFit="0" vertical="center" wrapText="1"/>
    </xf>
    <xf borderId="44" fillId="5" fontId="21" numFmtId="165" xfId="0" applyAlignment="1" applyBorder="1" applyFont="1" applyNumberFormat="1">
      <alignment horizontal="center" readingOrder="0" vertical="center"/>
    </xf>
    <xf borderId="44" fillId="5" fontId="20" numFmtId="0" xfId="0" applyAlignment="1" applyBorder="1" applyFont="1">
      <alignment horizontal="center" readingOrder="0" vertical="center"/>
    </xf>
    <xf borderId="45" fillId="5" fontId="21" numFmtId="0" xfId="0" applyAlignment="1" applyBorder="1" applyFont="1">
      <alignment horizontal="center" vertical="center"/>
    </xf>
    <xf borderId="43" fillId="5" fontId="19" numFmtId="166" xfId="0" applyAlignment="1" applyBorder="1" applyFont="1" applyNumberFormat="1">
      <alignment horizontal="center" readingOrder="0" vertical="center"/>
    </xf>
    <xf borderId="43" fillId="5" fontId="19" numFmtId="167" xfId="0" applyAlignment="1" applyBorder="1" applyFont="1" applyNumberFormat="1">
      <alignment horizontal="center" readingOrder="0" vertical="center"/>
    </xf>
    <xf borderId="44" fillId="8" fontId="21" numFmtId="0" xfId="0" applyAlignment="1" applyBorder="1" applyFont="1">
      <alignment horizontal="center" readingOrder="0" vertical="center"/>
    </xf>
    <xf borderId="44" fillId="5" fontId="21" numFmtId="165" xfId="0" applyAlignment="1" applyBorder="1" applyFont="1" applyNumberFormat="1">
      <alignment horizontal="center" vertical="center"/>
    </xf>
    <xf borderId="44" fillId="5" fontId="21" numFmtId="0" xfId="0" applyAlignment="1" applyBorder="1" applyFont="1">
      <alignment horizontal="center" vertical="center"/>
    </xf>
    <xf borderId="43" fillId="11" fontId="19" numFmtId="167" xfId="0" applyAlignment="1" applyBorder="1" applyFill="1" applyFont="1" applyNumberFormat="1">
      <alignment horizontal="center" readingOrder="0" vertical="center"/>
    </xf>
    <xf borderId="44" fillId="11" fontId="20" numFmtId="0" xfId="0" applyAlignment="1" applyBorder="1" applyFont="1">
      <alignment horizontal="center" readingOrder="0" shrinkToFit="0" vertical="center" wrapText="1"/>
    </xf>
    <xf borderId="44" fillId="11" fontId="21" numFmtId="0" xfId="0" applyAlignment="1" applyBorder="1" applyFont="1">
      <alignment horizontal="center" readingOrder="0" shrinkToFit="0" vertical="center" wrapText="1"/>
    </xf>
    <xf borderId="44" fillId="11" fontId="22" numFmtId="0" xfId="0" applyAlignment="1" applyBorder="1" applyFont="1">
      <alignment horizontal="center" readingOrder="0" shrinkToFit="0" vertical="center" wrapText="1"/>
    </xf>
    <xf borderId="44" fillId="11" fontId="20" numFmtId="165" xfId="0" applyAlignment="1" applyBorder="1" applyFont="1" applyNumberFormat="1">
      <alignment horizontal="center" readingOrder="0" vertical="center"/>
    </xf>
    <xf borderId="44" fillId="11" fontId="21" numFmtId="0" xfId="0" applyAlignment="1" applyBorder="1" applyFont="1">
      <alignment horizontal="center" readingOrder="0" vertical="center"/>
    </xf>
    <xf borderId="44" fillId="0" fontId="21" numFmtId="0" xfId="0" applyAlignment="1" applyBorder="1" applyFont="1">
      <alignment horizontal="center" readingOrder="0" vertical="center"/>
    </xf>
    <xf borderId="45" fillId="0" fontId="21" numFmtId="0" xfId="0" applyAlignment="1" applyBorder="1" applyFont="1">
      <alignment horizontal="center" readingOrder="0" vertical="center"/>
    </xf>
    <xf borderId="44" fillId="0" fontId="21" numFmtId="165" xfId="0" applyAlignment="1" applyBorder="1" applyFont="1" applyNumberFormat="1">
      <alignment horizontal="center" readingOrder="0" vertical="center"/>
    </xf>
    <xf borderId="44" fillId="5" fontId="22" numFmtId="0" xfId="0" applyAlignment="1" applyBorder="1" applyFont="1">
      <alignment horizontal="center" vertical="center"/>
    </xf>
    <xf borderId="44" fillId="5" fontId="20" numFmtId="165" xfId="0" applyAlignment="1" applyBorder="1" applyFont="1" applyNumberFormat="1">
      <alignment horizontal="center" readingOrder="0" vertical="center"/>
    </xf>
    <xf borderId="44" fillId="0" fontId="21" numFmtId="165" xfId="0" applyAlignment="1" applyBorder="1" applyFont="1" applyNumberFormat="1">
      <alignment horizontal="center" vertical="center"/>
    </xf>
    <xf borderId="44" fillId="0" fontId="21" numFmtId="0" xfId="0" applyAlignment="1" applyBorder="1" applyFont="1">
      <alignment horizontal="center" vertical="center"/>
    </xf>
    <xf borderId="45" fillId="0" fontId="21" numFmtId="0" xfId="0" applyAlignment="1" applyBorder="1" applyFont="1">
      <alignment horizontal="center" vertical="center"/>
    </xf>
    <xf borderId="44" fillId="5" fontId="20" numFmtId="165" xfId="0" applyAlignment="1" applyBorder="1" applyFont="1" applyNumberFormat="1">
      <alignment horizontal="center" readingOrder="0" vertical="center"/>
    </xf>
    <xf borderId="44" fillId="5" fontId="23" numFmtId="0" xfId="0" applyAlignment="1" applyBorder="1" applyFont="1">
      <alignment horizontal="center" readingOrder="0" vertical="center"/>
    </xf>
    <xf borderId="44" fillId="5" fontId="23" numFmtId="0" xfId="0" applyAlignment="1" applyBorder="1" applyFont="1">
      <alignment horizontal="center" vertical="center"/>
    </xf>
    <xf borderId="44" fillId="5" fontId="23" numFmtId="0" xfId="0" applyAlignment="1" applyBorder="1" applyFont="1">
      <alignment horizontal="center" readingOrder="0" shrinkToFit="0" vertical="center" wrapText="1"/>
    </xf>
    <xf borderId="46" fillId="5" fontId="19" numFmtId="0" xfId="0" applyAlignment="1" applyBorder="1" applyFont="1">
      <alignment horizontal="center" readingOrder="0" vertical="center"/>
    </xf>
    <xf borderId="47" fillId="5" fontId="20" numFmtId="0" xfId="0" applyAlignment="1" applyBorder="1" applyFont="1">
      <alignment horizontal="center" readingOrder="0" vertical="center"/>
    </xf>
    <xf borderId="47" fillId="5" fontId="21" numFmtId="0" xfId="0" applyAlignment="1" applyBorder="1" applyFont="1">
      <alignment horizontal="center" readingOrder="0" vertical="center"/>
    </xf>
    <xf borderId="47" fillId="5" fontId="23" numFmtId="0" xfId="0" applyAlignment="1" applyBorder="1" applyFont="1">
      <alignment horizontal="center" readingOrder="0" shrinkToFit="0" vertical="center" wrapText="1"/>
    </xf>
    <xf borderId="47" fillId="5" fontId="23" numFmtId="0" xfId="0" applyAlignment="1" applyBorder="1" applyFont="1">
      <alignment horizontal="center" vertical="center"/>
    </xf>
    <xf borderId="47" fillId="5" fontId="20" numFmtId="165" xfId="0" applyAlignment="1" applyBorder="1" applyFont="1" applyNumberFormat="1">
      <alignment horizontal="center" readingOrder="0" vertical="center"/>
    </xf>
    <xf borderId="47" fillId="0" fontId="21" numFmtId="0" xfId="0" applyAlignment="1" applyBorder="1" applyFont="1">
      <alignment horizontal="center" vertical="center"/>
    </xf>
    <xf borderId="48" fillId="0" fontId="21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5" fontId="19" numFmtId="0" xfId="0" applyAlignment="1" applyFont="1">
      <alignment horizontal="center" readingOrder="0" vertical="center"/>
    </xf>
    <xf borderId="0" fillId="5" fontId="20" numFmtId="0" xfId="0" applyAlignment="1" applyFont="1">
      <alignment horizontal="center" readingOrder="0" vertical="center"/>
    </xf>
    <xf borderId="0" fillId="5" fontId="21" numFmtId="0" xfId="0" applyAlignment="1" applyFont="1">
      <alignment horizontal="center" readingOrder="0" vertical="center"/>
    </xf>
    <xf borderId="0" fillId="5" fontId="23" numFmtId="0" xfId="0" applyAlignment="1" applyFont="1">
      <alignment horizontal="center" readingOrder="0" shrinkToFit="0" vertical="center" wrapText="1"/>
    </xf>
    <xf borderId="0" fillId="5" fontId="23" numFmtId="0" xfId="0" applyAlignment="1" applyFont="1">
      <alignment horizontal="center" vertical="center"/>
    </xf>
    <xf borderId="0" fillId="5" fontId="20" numFmtId="165" xfId="0" applyAlignment="1" applyFont="1" applyNumberFormat="1">
      <alignment horizontal="center" readingOrder="0" vertical="center"/>
    </xf>
    <xf borderId="49" fillId="9" fontId="24" numFmtId="0" xfId="0" applyAlignment="1" applyBorder="1" applyFont="1">
      <alignment horizontal="center" readingOrder="0" shrinkToFit="0" vertical="center" wrapText="1"/>
    </xf>
    <xf borderId="50" fillId="0" fontId="3" numFmtId="0" xfId="0" applyBorder="1" applyFont="1"/>
    <xf borderId="51" fillId="0" fontId="3" numFmtId="0" xfId="0" applyBorder="1" applyFont="1"/>
    <xf borderId="52" fillId="10" fontId="13" numFmtId="0" xfId="0" applyAlignment="1" applyBorder="1" applyFont="1">
      <alignment horizontal="center" readingOrder="0" vertical="center"/>
    </xf>
    <xf borderId="52" fillId="10" fontId="13" numFmtId="49" xfId="0" applyAlignment="1" applyBorder="1" applyFont="1" applyNumberFormat="1">
      <alignment horizontal="center" readingOrder="0" shrinkToFit="0" vertical="center" wrapText="1"/>
    </xf>
    <xf borderId="52" fillId="10" fontId="13" numFmtId="0" xfId="0" applyAlignment="1" applyBorder="1" applyFont="1">
      <alignment horizontal="center" readingOrder="0" shrinkToFit="0" vertical="center" wrapText="1"/>
    </xf>
    <xf borderId="53" fillId="11" fontId="19" numFmtId="0" xfId="0" applyAlignment="1" applyBorder="1" applyFont="1">
      <alignment horizontal="center" readingOrder="0" vertical="center"/>
    </xf>
    <xf borderId="41" fillId="11" fontId="20" numFmtId="0" xfId="0" applyAlignment="1" applyBorder="1" applyFont="1">
      <alignment horizontal="center" readingOrder="0" shrinkToFit="0" vertical="center" wrapText="1"/>
    </xf>
    <xf borderId="41" fillId="11" fontId="21" numFmtId="0" xfId="0" applyAlignment="1" applyBorder="1" applyFont="1">
      <alignment horizontal="center" readingOrder="0" shrinkToFit="0" vertical="center" wrapText="1"/>
    </xf>
    <xf borderId="41" fillId="11" fontId="22" numFmtId="0" xfId="0" applyAlignment="1" applyBorder="1" applyFont="1">
      <alignment horizontal="center" readingOrder="0" shrinkToFit="0" vertical="center" wrapText="1"/>
    </xf>
    <xf borderId="41" fillId="11" fontId="20" numFmtId="165" xfId="0" applyAlignment="1" applyBorder="1" applyFont="1" applyNumberFormat="1">
      <alignment readingOrder="0" vertical="center"/>
    </xf>
    <xf borderId="41" fillId="11" fontId="21" numFmtId="165" xfId="0" applyAlignment="1" applyBorder="1" applyFont="1" applyNumberFormat="1">
      <alignment horizontal="center" readingOrder="0" shrinkToFit="0" vertical="center" wrapText="1"/>
    </xf>
    <xf borderId="54" fillId="11" fontId="25" numFmtId="165" xfId="0" applyAlignment="1" applyBorder="1" applyFont="1" applyNumberFormat="1">
      <alignment horizontal="center" readingOrder="0" vertical="center"/>
    </xf>
    <xf borderId="55" fillId="11" fontId="19" numFmtId="0" xfId="0" applyAlignment="1" applyBorder="1" applyFont="1">
      <alignment horizontal="center" readingOrder="0" vertical="center"/>
    </xf>
    <xf borderId="44" fillId="11" fontId="20" numFmtId="165" xfId="0" applyAlignment="1" applyBorder="1" applyFont="1" applyNumberFormat="1">
      <alignment readingOrder="0" vertical="center"/>
    </xf>
    <xf borderId="44" fillId="11" fontId="21" numFmtId="165" xfId="0" applyAlignment="1" applyBorder="1" applyFont="1" applyNumberFormat="1">
      <alignment horizontal="center" readingOrder="0" shrinkToFit="0" vertical="center" wrapText="1"/>
    </xf>
    <xf borderId="55" fillId="11" fontId="19" numFmtId="166" xfId="0" applyAlignment="1" applyBorder="1" applyFont="1" applyNumberFormat="1">
      <alignment horizontal="center" readingOrder="0" vertical="center"/>
    </xf>
    <xf borderId="44" fillId="11" fontId="20" numFmtId="0" xfId="0" applyAlignment="1" applyBorder="1" applyFont="1">
      <alignment horizontal="center" readingOrder="0" vertical="center"/>
    </xf>
    <xf borderId="55" fillId="11" fontId="19" numFmtId="167" xfId="0" applyAlignment="1" applyBorder="1" applyFont="1" applyNumberFormat="1">
      <alignment horizontal="center" readingOrder="0" vertical="center"/>
    </xf>
    <xf borderId="44" fillId="11" fontId="21" numFmtId="165" xfId="0" applyAlignment="1" applyBorder="1" applyFont="1" applyNumberFormat="1">
      <alignment horizontal="center" readingOrder="0" vertical="center"/>
    </xf>
    <xf borderId="44" fillId="5" fontId="21" numFmtId="165" xfId="0" applyAlignment="1" applyBorder="1" applyFont="1" applyNumberFormat="1">
      <alignment horizontal="center" readingOrder="0" shrinkToFit="0" vertical="center" wrapText="1"/>
    </xf>
    <xf borderId="54" fillId="5" fontId="25" numFmtId="165" xfId="0" applyAlignment="1" applyBorder="1" applyFont="1" applyNumberFormat="1">
      <alignment horizontal="center" readingOrder="0" vertical="center"/>
    </xf>
    <xf borderId="44" fillId="11" fontId="22" numFmtId="0" xfId="0" applyAlignment="1" applyBorder="1" applyFont="1">
      <alignment horizontal="center" readingOrder="0" vertical="center"/>
    </xf>
    <xf borderId="44" fillId="11" fontId="20" numFmtId="165" xfId="0" applyAlignment="1" applyBorder="1" applyFont="1" applyNumberFormat="1">
      <alignment horizontal="center" readingOrder="0" vertical="center"/>
    </xf>
    <xf borderId="54" fillId="11" fontId="25" numFmtId="165" xfId="0" applyAlignment="1" applyBorder="1" applyFont="1" applyNumberFormat="1">
      <alignment horizontal="center" readingOrder="0" vertical="center"/>
    </xf>
    <xf borderId="56" fillId="11" fontId="19" numFmtId="0" xfId="0" applyAlignment="1" applyBorder="1" applyFont="1">
      <alignment horizontal="center" readingOrder="0" vertical="center"/>
    </xf>
    <xf borderId="57" fillId="11" fontId="20" numFmtId="0" xfId="0" applyAlignment="1" applyBorder="1" applyFont="1">
      <alignment horizontal="center" readingOrder="0" shrinkToFit="0" vertical="center" wrapText="1"/>
    </xf>
    <xf borderId="57" fillId="11" fontId="21" numFmtId="0" xfId="0" applyAlignment="1" applyBorder="1" applyFont="1">
      <alignment horizontal="center" readingOrder="0" vertical="center"/>
    </xf>
    <xf borderId="57" fillId="11" fontId="22" numFmtId="0" xfId="0" applyAlignment="1" applyBorder="1" applyFont="1">
      <alignment horizontal="center" readingOrder="0" shrinkToFit="0" vertical="center" wrapText="1"/>
    </xf>
    <xf borderId="57" fillId="11" fontId="22" numFmtId="0" xfId="0" applyAlignment="1" applyBorder="1" applyFont="1">
      <alignment horizontal="center" readingOrder="0" vertical="center"/>
    </xf>
    <xf borderId="57" fillId="11" fontId="20" numFmtId="165" xfId="0" applyAlignment="1" applyBorder="1" applyFont="1" applyNumberFormat="1">
      <alignment horizontal="center" readingOrder="0" vertical="center"/>
    </xf>
    <xf borderId="57" fillId="11" fontId="21" numFmtId="165" xfId="0" applyAlignment="1" applyBorder="1" applyFont="1" applyNumberFormat="1">
      <alignment horizontal="center" readingOrder="0" vertical="center"/>
    </xf>
    <xf borderId="58" fillId="11" fontId="25" numFmtId="165" xfId="0" applyAlignment="1" applyBorder="1" applyFont="1" applyNumberFormat="1">
      <alignment horizontal="center" readingOrder="0" vertical="center"/>
    </xf>
    <xf borderId="44" fillId="11" fontId="23" numFmtId="0" xfId="0" applyAlignment="1" applyBorder="1" applyFont="1">
      <alignment horizontal="center" readingOrder="0" shrinkToFit="0" vertical="center" wrapText="1"/>
    </xf>
    <xf borderId="57" fillId="11" fontId="20" numFmtId="0" xfId="0" applyAlignment="1" applyBorder="1" applyFont="1">
      <alignment horizontal="center" readingOrder="0" vertical="center"/>
    </xf>
    <xf borderId="57" fillId="11" fontId="23" numFmtId="0" xfId="0" applyAlignment="1" applyBorder="1" applyFont="1">
      <alignment horizontal="center" readingOrder="0" shrinkToFit="0" vertical="center" wrapText="1"/>
    </xf>
    <xf borderId="57" fillId="11" fontId="21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5" xfId="0" applyAlignment="1" applyFont="1" applyNumberFormat="1">
      <alignment horizontal="center" readingOrder="0" vertical="center"/>
    </xf>
    <xf borderId="0" fillId="12" fontId="9" numFmtId="0" xfId="0" applyFill="1" applyFont="1"/>
    <xf borderId="59" fillId="13" fontId="26" numFmtId="0" xfId="0" applyAlignment="1" applyBorder="1" applyFill="1" applyFont="1">
      <alignment horizontal="center" readingOrder="0" vertical="center"/>
    </xf>
    <xf borderId="60" fillId="0" fontId="3" numFmtId="0" xfId="0" applyBorder="1" applyFont="1"/>
    <xf borderId="61" fillId="0" fontId="3" numFmtId="0" xfId="0" applyBorder="1" applyFont="1"/>
    <xf borderId="62" fillId="13" fontId="27" numFmtId="0" xfId="0" applyAlignment="1" applyBorder="1" applyFont="1">
      <alignment horizontal="center" readingOrder="0" vertical="center"/>
    </xf>
    <xf borderId="63" fillId="14" fontId="3" numFmtId="0" xfId="0" applyBorder="1" applyFill="1" applyFont="1"/>
    <xf borderId="64" fillId="14" fontId="3" numFmtId="0" xfId="0" applyBorder="1" applyFont="1"/>
    <xf borderId="65" fillId="13" fontId="28" numFmtId="0" xfId="0" applyAlignment="1" applyBorder="1" applyFont="1">
      <alignment horizontal="center" shrinkToFit="0" vertical="center" wrapText="1"/>
    </xf>
    <xf borderId="66" fillId="15" fontId="29" numFmtId="0" xfId="0" applyAlignment="1" applyBorder="1" applyFill="1" applyFont="1">
      <alignment horizontal="center" readingOrder="0" vertical="center"/>
    </xf>
    <xf borderId="67" fillId="15" fontId="29" numFmtId="0" xfId="0" applyAlignment="1" applyBorder="1" applyFont="1">
      <alignment horizontal="center" readingOrder="0" vertical="center"/>
    </xf>
    <xf borderId="68" fillId="15" fontId="29" numFmtId="0" xfId="0" applyAlignment="1" applyBorder="1" applyFont="1">
      <alignment horizontal="center" readingOrder="0" vertical="center"/>
    </xf>
    <xf borderId="69" fillId="15" fontId="29" numFmtId="0" xfId="0" applyAlignment="1" applyBorder="1" applyFont="1">
      <alignment horizontal="center" readingOrder="0" shrinkToFit="0" vertical="center" wrapText="1"/>
    </xf>
    <xf borderId="70" fillId="15" fontId="29" numFmtId="0" xfId="0" applyAlignment="1" applyBorder="1" applyFont="1">
      <alignment horizontal="center" readingOrder="0" vertical="center"/>
    </xf>
    <xf borderId="71" fillId="12" fontId="3" numFmtId="0" xfId="0" applyBorder="1" applyFont="1"/>
    <xf borderId="72" fillId="16" fontId="9" numFmtId="0" xfId="0" applyAlignment="1" applyBorder="1" applyFill="1" applyFont="1">
      <alignment horizontal="center" readingOrder="0" vertical="center"/>
    </xf>
    <xf borderId="67" fillId="16" fontId="9" numFmtId="0" xfId="0" applyAlignment="1" applyBorder="1" applyFont="1">
      <alignment horizontal="center" readingOrder="0" vertical="center"/>
    </xf>
    <xf borderId="73" fillId="16" fontId="9" numFmtId="164" xfId="0" applyAlignment="1" applyBorder="1" applyFont="1" applyNumberFormat="1">
      <alignment horizontal="center" readingOrder="0" vertical="center"/>
    </xf>
    <xf borderId="67" fillId="16" fontId="9" numFmtId="165" xfId="0" applyAlignment="1" applyBorder="1" applyFont="1" applyNumberFormat="1">
      <alignment horizontal="center" readingOrder="0" vertical="center"/>
    </xf>
    <xf borderId="70" fillId="16" fontId="9" numFmtId="0" xfId="0" applyAlignment="1" applyBorder="1" applyFont="1">
      <alignment horizontal="center" readingOrder="0" vertical="center"/>
    </xf>
    <xf borderId="68" fillId="16" fontId="9" numFmtId="0" xfId="0" applyAlignment="1" applyBorder="1" applyFont="1">
      <alignment horizontal="center" readingOrder="0" vertical="center"/>
    </xf>
    <xf borderId="74" fillId="16" fontId="9" numFmtId="0" xfId="0" applyAlignment="1" applyBorder="1" applyFont="1">
      <alignment horizontal="center" readingOrder="0" vertical="center"/>
    </xf>
    <xf borderId="75" fillId="16" fontId="30" numFmtId="0" xfId="0" applyAlignment="1" applyBorder="1" applyFont="1">
      <alignment horizontal="center" vertical="center"/>
    </xf>
    <xf borderId="76" fillId="16" fontId="31" numFmtId="168" xfId="0" applyAlignment="1" applyBorder="1" applyFont="1" applyNumberFormat="1">
      <alignment horizontal="center" readingOrder="0" vertical="center"/>
    </xf>
    <xf borderId="76" fillId="16" fontId="32" numFmtId="0" xfId="0" applyAlignment="1" applyBorder="1" applyFont="1">
      <alignment horizontal="center" readingOrder="0" vertical="center"/>
    </xf>
    <xf borderId="76" fillId="16" fontId="32" numFmtId="165" xfId="0" applyAlignment="1" applyBorder="1" applyFont="1" applyNumberFormat="1">
      <alignment horizontal="center" readingOrder="0" vertical="center"/>
    </xf>
    <xf borderId="77" fillId="16" fontId="32" numFmtId="0" xfId="0" applyAlignment="1" applyBorder="1" applyFont="1">
      <alignment horizontal="center" readingOrder="0" vertical="center"/>
    </xf>
    <xf borderId="77" fillId="16" fontId="32" numFmtId="165" xfId="0" applyAlignment="1" applyBorder="1" applyFont="1" applyNumberFormat="1">
      <alignment horizontal="center" readingOrder="0" vertical="center"/>
    </xf>
    <xf borderId="78" fillId="16" fontId="32" numFmtId="0" xfId="0" applyAlignment="1" applyBorder="1" applyFont="1">
      <alignment horizontal="center" readingOrder="0" vertical="center"/>
    </xf>
    <xf borderId="79" fillId="0" fontId="3" numFmtId="0" xfId="0" applyBorder="1" applyFont="1"/>
    <xf borderId="80" fillId="0" fontId="3" numFmtId="0" xfId="0" applyBorder="1" applyFont="1"/>
    <xf borderId="81" fillId="0" fontId="3" numFmtId="0" xfId="0" applyBorder="1" applyFont="1"/>
    <xf borderId="82" fillId="0" fontId="3" numFmtId="0" xfId="0" applyBorder="1" applyFont="1"/>
    <xf borderId="83" fillId="12" fontId="3" numFmtId="0" xfId="0" applyBorder="1" applyFont="1"/>
    <xf borderId="84" fillId="12" fontId="3" numFmtId="0" xfId="0" applyBorder="1" applyFont="1"/>
    <xf borderId="85" fillId="12" fontId="3" numFmtId="0" xfId="0" applyBorder="1" applyFont="1"/>
    <xf borderId="85" fillId="16" fontId="32" numFmtId="0" xfId="0" applyAlignment="1" applyBorder="1" applyFont="1">
      <alignment horizontal="center" readingOrder="0" vertical="center"/>
    </xf>
    <xf borderId="85" fillId="16" fontId="32" numFmtId="165" xfId="0" applyAlignment="1" applyBorder="1" applyFont="1" applyNumberFormat="1">
      <alignment horizontal="center" readingOrder="0" vertical="center"/>
    </xf>
    <xf borderId="86" fillId="12" fontId="3" numFmtId="0" xfId="0" applyBorder="1" applyFont="1"/>
    <xf borderId="87" fillId="16" fontId="30" numFmtId="0" xfId="0" applyAlignment="1" applyBorder="1" applyFont="1">
      <alignment horizontal="center" vertical="center"/>
    </xf>
    <xf borderId="84" fillId="14" fontId="3" numFmtId="0" xfId="0" applyBorder="1" applyFont="1"/>
    <xf borderId="88" fillId="16" fontId="32" numFmtId="0" xfId="0" applyAlignment="1" applyBorder="1" applyFont="1">
      <alignment horizontal="center" readingOrder="0" vertical="center"/>
    </xf>
    <xf borderId="88" fillId="16" fontId="32" numFmtId="49" xfId="0" applyAlignment="1" applyBorder="1" applyFont="1" applyNumberFormat="1">
      <alignment horizontal="center" readingOrder="0" vertical="center"/>
    </xf>
    <xf borderId="88" fillId="16" fontId="32" numFmtId="169" xfId="0" applyAlignment="1" applyBorder="1" applyFont="1" applyNumberFormat="1">
      <alignment horizontal="center" readingOrder="0" vertical="center"/>
    </xf>
    <xf borderId="78" fillId="16" fontId="32" numFmtId="169" xfId="0" applyAlignment="1" applyBorder="1" applyFont="1" applyNumberFormat="1">
      <alignment horizontal="center" readingOrder="0" vertical="center"/>
    </xf>
    <xf borderId="89" fillId="16" fontId="9" numFmtId="0" xfId="0" applyAlignment="1" applyBorder="1" applyFont="1">
      <alignment horizontal="center" readingOrder="0" vertical="center"/>
    </xf>
    <xf borderId="90" fillId="16" fontId="9" numFmtId="165" xfId="0" applyAlignment="1" applyBorder="1" applyFont="1" applyNumberFormat="1">
      <alignment horizontal="center" readingOrder="0" vertical="center"/>
    </xf>
    <xf borderId="91" fillId="0" fontId="3" numFmtId="0" xfId="0" applyBorder="1" applyFont="1"/>
    <xf borderId="92" fillId="0" fontId="3" numFmtId="0" xfId="0" applyBorder="1" applyFont="1"/>
    <xf borderId="87" fillId="16" fontId="30" numFmtId="0" xfId="0" applyAlignment="1" applyBorder="1" applyFont="1">
      <alignment horizontal="center" readingOrder="0" vertical="center"/>
    </xf>
    <xf borderId="84" fillId="16" fontId="32" numFmtId="0" xfId="0" applyAlignment="1" applyBorder="1" applyFont="1">
      <alignment horizontal="center" readingOrder="0" vertical="center"/>
    </xf>
    <xf borderId="93" fillId="16" fontId="33" numFmtId="0" xfId="0" applyAlignment="1" applyBorder="1" applyFont="1">
      <alignment horizontal="center" readingOrder="0" vertical="center"/>
    </xf>
    <xf borderId="94" fillId="0" fontId="3" numFmtId="0" xfId="0" applyBorder="1" applyFont="1"/>
    <xf borderId="95" fillId="0" fontId="3" numFmtId="0" xfId="0" applyBorder="1" applyFont="1"/>
    <xf borderId="96" fillId="16" fontId="33" numFmtId="165" xfId="0" applyAlignment="1" applyBorder="1" applyFont="1" applyNumberFormat="1">
      <alignment horizontal="center" vertical="center"/>
    </xf>
    <xf borderId="97" fillId="0" fontId="3" numFmtId="0" xfId="0" applyBorder="1" applyFont="1"/>
    <xf borderId="98" fillId="12" fontId="3" numFmtId="0" xfId="0" applyBorder="1" applyFont="1"/>
    <xf borderId="99" fillId="12" fontId="3" numFmtId="0" xfId="0" applyBorder="1" applyFont="1"/>
    <xf borderId="99" fillId="16" fontId="32" numFmtId="0" xfId="0" applyAlignment="1" applyBorder="1" applyFont="1">
      <alignment horizontal="center" readingOrder="0" vertical="center"/>
    </xf>
    <xf borderId="99" fillId="16" fontId="32" numFmtId="165" xfId="0" applyAlignment="1" applyBorder="1" applyFont="1" applyNumberFormat="1">
      <alignment horizontal="center" readingOrder="0" vertical="center"/>
    </xf>
    <xf borderId="100" fillId="16" fontId="32" numFmtId="49" xfId="0" applyAlignment="1" applyBorder="1" applyFont="1" applyNumberFormat="1">
      <alignment horizontal="center" readingOrder="0" vertical="center"/>
    </xf>
    <xf borderId="101" fillId="12" fontId="3" numFmtId="0" xfId="0" applyBorder="1" applyFont="1"/>
    <xf borderId="0" fillId="0" fontId="9" numFmtId="164" xfId="0" applyAlignment="1" applyFont="1" applyNumberFormat="1">
      <alignment horizontal="center" readingOrder="0" vertical="center"/>
    </xf>
    <xf borderId="0" fillId="5" fontId="31" numFmtId="168" xfId="0" applyAlignment="1" applyFont="1" applyNumberFormat="1">
      <alignment horizontal="center" readingOrder="0" vertical="center"/>
    </xf>
    <xf borderId="102" fillId="17" fontId="34" numFmtId="0" xfId="0" applyAlignment="1" applyBorder="1" applyFill="1" applyFont="1">
      <alignment horizontal="center" readingOrder="0" vertical="center"/>
    </xf>
    <xf borderId="103" fillId="0" fontId="3" numFmtId="0" xfId="0" applyBorder="1" applyFont="1"/>
    <xf borderId="104" fillId="0" fontId="3" numFmtId="0" xfId="0" applyBorder="1" applyFont="1"/>
    <xf borderId="102" fillId="17" fontId="35" numFmtId="0" xfId="0" applyAlignment="1" applyBorder="1" applyFont="1">
      <alignment horizontal="center" readingOrder="0" vertical="center"/>
    </xf>
    <xf borderId="105" fillId="17" fontId="36" numFmtId="0" xfId="0" applyAlignment="1" applyBorder="1" applyFont="1">
      <alignment horizontal="center" shrinkToFit="0" vertical="center" wrapText="1"/>
    </xf>
    <xf borderId="106" fillId="17" fontId="37" numFmtId="0" xfId="0" applyAlignment="1" applyBorder="1" applyFont="1">
      <alignment horizontal="center" readingOrder="0" vertical="center"/>
    </xf>
    <xf borderId="106" fillId="17" fontId="37" numFmtId="0" xfId="0" applyAlignment="1" applyBorder="1" applyFont="1">
      <alignment horizontal="center" readingOrder="0" shrinkToFit="0" vertical="center" wrapText="1"/>
    </xf>
    <xf borderId="107" fillId="0" fontId="3" numFmtId="0" xfId="0" applyBorder="1" applyFont="1"/>
    <xf borderId="108" fillId="17" fontId="38" numFmtId="0" xfId="0" applyAlignment="1" applyBorder="1" applyFont="1">
      <alignment horizontal="center" readingOrder="0" vertical="center"/>
    </xf>
    <xf borderId="109" fillId="17" fontId="38" numFmtId="0" xfId="0" applyAlignment="1" applyBorder="1" applyFont="1">
      <alignment horizontal="center" readingOrder="0" vertical="center"/>
    </xf>
    <xf borderId="110" fillId="17" fontId="38" numFmtId="164" xfId="0" applyAlignment="1" applyBorder="1" applyFont="1" applyNumberFormat="1">
      <alignment horizontal="center" readingOrder="0" vertical="center"/>
    </xf>
    <xf borderId="109" fillId="17" fontId="38" numFmtId="165" xfId="0" applyAlignment="1" applyBorder="1" applyFont="1" applyNumberFormat="1">
      <alignment horizontal="center" readingOrder="0" vertical="center"/>
    </xf>
    <xf borderId="110" fillId="17" fontId="38" numFmtId="0" xfId="0" applyAlignment="1" applyBorder="1" applyFont="1">
      <alignment horizontal="center" readingOrder="0" vertical="center"/>
    </xf>
    <xf borderId="111" fillId="17" fontId="38" numFmtId="0" xfId="0" applyAlignment="1" applyBorder="1" applyFont="1">
      <alignment horizontal="center" readingOrder="0" vertical="center"/>
    </xf>
    <xf borderId="112" fillId="17" fontId="38" numFmtId="0" xfId="0" applyAlignment="1" applyBorder="1" applyFont="1">
      <alignment horizontal="center" readingOrder="0" vertical="center"/>
    </xf>
    <xf borderId="108" fillId="17" fontId="39" numFmtId="0" xfId="0" applyAlignment="1" applyBorder="1" applyFont="1">
      <alignment horizontal="center" vertical="center"/>
    </xf>
    <xf borderId="110" fillId="17" fontId="40" numFmtId="168" xfId="0" applyAlignment="1" applyBorder="1" applyFont="1" applyNumberFormat="1">
      <alignment horizontal="center" readingOrder="0" vertical="center"/>
    </xf>
    <xf borderId="110" fillId="17" fontId="41" numFmtId="0" xfId="0" applyAlignment="1" applyBorder="1" applyFont="1">
      <alignment horizontal="center" readingOrder="0" vertical="center"/>
    </xf>
    <xf borderId="110" fillId="17" fontId="41" numFmtId="165" xfId="0" applyAlignment="1" applyBorder="1" applyFont="1" applyNumberFormat="1">
      <alignment horizontal="center" readingOrder="0" vertical="center"/>
    </xf>
    <xf borderId="111" fillId="17" fontId="41" numFmtId="0" xfId="0" applyAlignment="1" applyBorder="1" applyFont="1">
      <alignment horizontal="center" readingOrder="0" vertical="center"/>
    </xf>
    <xf borderId="111" fillId="17" fontId="41" numFmtId="165" xfId="0" applyAlignment="1" applyBorder="1" applyFont="1" applyNumberFormat="1">
      <alignment horizontal="center" readingOrder="0" vertical="center"/>
    </xf>
    <xf borderId="112" fillId="17" fontId="41" numFmtId="0" xfId="0" applyAlignment="1" applyBorder="1" applyFont="1">
      <alignment horizontal="center" readingOrder="0" vertical="center"/>
    </xf>
    <xf borderId="108" fillId="0" fontId="3" numFmtId="0" xfId="0" applyBorder="1" applyFont="1"/>
    <xf borderId="110" fillId="0" fontId="3" numFmtId="0" xfId="0" applyBorder="1" applyFont="1"/>
    <xf borderId="112" fillId="0" fontId="3" numFmtId="0" xfId="0" applyBorder="1" applyFont="1"/>
    <xf borderId="113" fillId="0" fontId="3" numFmtId="0" xfId="0" applyBorder="1" applyFont="1"/>
    <xf borderId="111" fillId="0" fontId="3" numFmtId="0" xfId="0" applyBorder="1" applyFont="1"/>
    <xf borderId="109" fillId="17" fontId="41" numFmtId="165" xfId="0" applyAlignment="1" applyBorder="1" applyFont="1" applyNumberFormat="1">
      <alignment horizontal="center" readingOrder="0" vertical="center"/>
    </xf>
    <xf borderId="109" fillId="17" fontId="41" numFmtId="0" xfId="0" applyAlignment="1" applyBorder="1" applyFont="1">
      <alignment horizontal="center" readingOrder="0" vertical="center"/>
    </xf>
    <xf borderId="114" fillId="0" fontId="3" numFmtId="0" xfId="0" applyBorder="1" applyFont="1"/>
    <xf borderId="115" fillId="17" fontId="39" numFmtId="0" xfId="0" applyAlignment="1" applyBorder="1" applyFont="1">
      <alignment horizontal="center" vertical="center"/>
    </xf>
    <xf borderId="116" fillId="17" fontId="41" numFmtId="0" xfId="0" applyAlignment="1" applyBorder="1" applyFont="1">
      <alignment horizontal="center" readingOrder="0" vertical="center"/>
    </xf>
    <xf borderId="116" fillId="17" fontId="41" numFmtId="165" xfId="0" applyAlignment="1" applyBorder="1" applyFont="1" applyNumberFormat="1">
      <alignment horizontal="center" readingOrder="0" vertical="center"/>
    </xf>
    <xf borderId="117" fillId="17" fontId="41" numFmtId="0" xfId="0" applyAlignment="1" applyBorder="1" applyFont="1">
      <alignment horizontal="center" readingOrder="0" vertical="center"/>
    </xf>
    <xf borderId="109" fillId="17" fontId="41" numFmtId="49" xfId="0" applyAlignment="1" applyBorder="1" applyFont="1" applyNumberFormat="1">
      <alignment horizontal="center" readingOrder="0" vertical="center"/>
    </xf>
    <xf borderId="109" fillId="17" fontId="41" numFmtId="169" xfId="0" applyAlignment="1" applyBorder="1" applyFont="1" applyNumberFormat="1">
      <alignment horizontal="center" readingOrder="0" vertical="center"/>
    </xf>
    <xf borderId="117" fillId="17" fontId="41" numFmtId="169" xfId="0" applyAlignment="1" applyBorder="1" applyFont="1" applyNumberFormat="1">
      <alignment horizontal="center" readingOrder="0" vertical="center"/>
    </xf>
    <xf borderId="115" fillId="17" fontId="39" numFmtId="0" xfId="0" applyAlignment="1" applyBorder="1" applyFont="1">
      <alignment horizontal="center" readingOrder="0" vertical="center"/>
    </xf>
    <xf borderId="118" fillId="17" fontId="42" numFmtId="0" xfId="0" applyAlignment="1" applyBorder="1" applyFont="1">
      <alignment horizontal="center" readingOrder="0" vertical="center"/>
    </xf>
    <xf borderId="119" fillId="0" fontId="3" numFmtId="0" xfId="0" applyBorder="1" applyFont="1"/>
    <xf borderId="120" fillId="0" fontId="3" numFmtId="0" xfId="0" applyBorder="1" applyFont="1"/>
    <xf borderId="121" fillId="17" fontId="42" numFmtId="165" xfId="0" applyAlignment="1" applyBorder="1" applyFont="1" applyNumberFormat="1">
      <alignment horizontal="center" vertical="center"/>
    </xf>
    <xf borderId="122" fillId="0" fontId="3" numFmtId="0" xfId="0" applyBorder="1" applyFont="1"/>
    <xf borderId="123" fillId="0" fontId="3" numFmtId="0" xfId="0" applyBorder="1" applyFont="1"/>
    <xf borderId="124" fillId="0" fontId="3" numFmtId="0" xfId="0" applyBorder="1" applyFont="1"/>
    <xf borderId="125" fillId="17" fontId="41" numFmtId="0" xfId="0" applyAlignment="1" applyBorder="1" applyFont="1">
      <alignment horizontal="center" readingOrder="0" vertical="center"/>
    </xf>
    <xf borderId="125" fillId="17" fontId="41" numFmtId="165" xfId="0" applyAlignment="1" applyBorder="1" applyFont="1" applyNumberFormat="1">
      <alignment horizontal="center" readingOrder="0" vertical="center"/>
    </xf>
    <xf borderId="125" fillId="17" fontId="41" numFmtId="49" xfId="0" applyAlignment="1" applyBorder="1" applyFont="1" applyNumberFormat="1">
      <alignment horizontal="center" readingOrder="0" vertical="center"/>
    </xf>
    <xf borderId="126" fillId="0" fontId="3" numFmtId="0" xfId="0" applyBorder="1" applyFont="1"/>
    <xf borderId="0" fillId="5" fontId="43" numFmtId="0" xfId="0" applyAlignment="1" applyFont="1">
      <alignment horizontal="center" readingOrder="0" vertical="center"/>
    </xf>
    <xf borderId="127" fillId="18" fontId="43" numFmtId="0" xfId="0" applyAlignment="1" applyBorder="1" applyFill="1" applyFont="1">
      <alignment horizontal="center" readingOrder="0" vertical="center"/>
    </xf>
    <xf borderId="128" fillId="0" fontId="3" numFmtId="0" xfId="0" applyBorder="1" applyFont="1"/>
    <xf borderId="129" fillId="0" fontId="3" numFmtId="0" xfId="0" applyBorder="1" applyFont="1"/>
    <xf borderId="0" fillId="5" fontId="44" numFmtId="0" xfId="0" applyFont="1"/>
    <xf borderId="127" fillId="18" fontId="45" numFmtId="0" xfId="0" applyAlignment="1" applyBorder="1" applyFont="1">
      <alignment horizontal="center" readingOrder="0" vertical="center"/>
    </xf>
    <xf borderId="130" fillId="18" fontId="46" numFmtId="0" xfId="0" applyAlignment="1" applyBorder="1" applyFont="1">
      <alignment horizontal="center" shrinkToFit="0" vertical="center" wrapText="1"/>
    </xf>
    <xf borderId="131" fillId="19" fontId="47" numFmtId="0" xfId="0" applyAlignment="1" applyBorder="1" applyFill="1" applyFont="1">
      <alignment horizontal="center" vertical="center"/>
    </xf>
    <xf borderId="8" fillId="19" fontId="47" numFmtId="0" xfId="0" applyAlignment="1" applyBorder="1" applyFont="1">
      <alignment horizontal="center" vertical="center"/>
    </xf>
    <xf borderId="0" fillId="5" fontId="48" numFmtId="0" xfId="0" applyAlignment="1" applyFont="1">
      <alignment horizontal="center" readingOrder="0" vertical="center"/>
    </xf>
    <xf borderId="132" fillId="18" fontId="48" numFmtId="0" xfId="0" applyAlignment="1" applyBorder="1" applyFont="1">
      <alignment horizontal="center" readingOrder="0" vertical="center"/>
    </xf>
    <xf borderId="132" fillId="18" fontId="48" numFmtId="0" xfId="0" applyAlignment="1" applyBorder="1" applyFont="1">
      <alignment horizontal="center" readingOrder="0" shrinkToFit="0" vertical="center" wrapText="1"/>
    </xf>
    <xf borderId="133" fillId="0" fontId="3" numFmtId="0" xfId="0" applyBorder="1" applyFont="1"/>
    <xf borderId="131" fillId="20" fontId="49" numFmtId="0" xfId="0" applyAlignment="1" applyBorder="1" applyFill="1" applyFont="1">
      <alignment horizontal="center" vertical="center"/>
    </xf>
    <xf borderId="8" fillId="20" fontId="50" numFmtId="0" xfId="0" applyAlignment="1" applyBorder="1" applyFont="1">
      <alignment horizontal="center" vertical="center"/>
    </xf>
    <xf borderId="8" fillId="20" fontId="51" numFmtId="0" xfId="0" applyAlignment="1" applyBorder="1" applyFont="1">
      <alignment horizontal="center" shrinkToFit="0" vertical="center" wrapText="1"/>
    </xf>
    <xf borderId="8" fillId="20" fontId="49" numFmtId="0" xfId="0" applyAlignment="1" applyBorder="1" applyFont="1">
      <alignment horizontal="center" shrinkToFit="0" vertical="center" wrapText="1"/>
    </xf>
    <xf borderId="0" fillId="5" fontId="11" numFmtId="0" xfId="0" applyAlignment="1" applyFont="1">
      <alignment horizontal="center" readingOrder="0" vertical="center"/>
    </xf>
    <xf borderId="134" fillId="4" fontId="11" numFmtId="0" xfId="0" applyAlignment="1" applyBorder="1" applyFont="1">
      <alignment horizontal="center" readingOrder="0" vertical="center"/>
    </xf>
    <xf borderId="135" fillId="4" fontId="11" numFmtId="0" xfId="0" applyAlignment="1" applyBorder="1" applyFont="1">
      <alignment horizontal="center" readingOrder="0" vertical="center"/>
    </xf>
    <xf borderId="136" fillId="4" fontId="11" numFmtId="164" xfId="0" applyAlignment="1" applyBorder="1" applyFont="1" applyNumberFormat="1">
      <alignment horizontal="center" readingOrder="0" vertical="center"/>
    </xf>
    <xf borderId="137" fillId="4" fontId="11" numFmtId="165" xfId="0" applyAlignment="1" applyBorder="1" applyFont="1" applyNumberFormat="1">
      <alignment horizontal="center" readingOrder="0" vertical="center"/>
    </xf>
    <xf borderId="138" fillId="4" fontId="11" numFmtId="165" xfId="0" applyAlignment="1" applyBorder="1" applyFont="1" applyNumberFormat="1">
      <alignment horizontal="center" readingOrder="0" vertical="center"/>
    </xf>
    <xf borderId="137" fillId="4" fontId="11" numFmtId="0" xfId="0" applyAlignment="1" applyBorder="1" applyFont="1">
      <alignment horizontal="center" readingOrder="0" vertical="center"/>
    </xf>
    <xf borderId="138" fillId="4" fontId="6" numFmtId="0" xfId="0" applyAlignment="1" applyBorder="1" applyFont="1">
      <alignment horizontal="center" readingOrder="0" vertical="center"/>
    </xf>
    <xf borderId="139" fillId="5" fontId="11" numFmtId="0" xfId="0" applyAlignment="1" applyBorder="1" applyFont="1">
      <alignment horizontal="center" vertical="center"/>
    </xf>
    <xf borderId="134" fillId="4" fontId="52" numFmtId="0" xfId="0" applyAlignment="1" applyBorder="1" applyFont="1">
      <alignment horizontal="center" vertical="center"/>
    </xf>
    <xf borderId="135" fillId="4" fontId="53" numFmtId="168" xfId="0" applyAlignment="1" applyBorder="1" applyFont="1" applyNumberFormat="1">
      <alignment horizontal="center" readingOrder="0" vertical="center"/>
    </xf>
    <xf borderId="135" fillId="4" fontId="54" numFmtId="0" xfId="0" applyAlignment="1" applyBorder="1" applyFont="1">
      <alignment horizontal="center" readingOrder="0" vertical="center"/>
    </xf>
    <xf borderId="135" fillId="4" fontId="54" numFmtId="165" xfId="0" applyAlignment="1" applyBorder="1" applyFont="1" applyNumberFormat="1">
      <alignment horizontal="center" readingOrder="0" vertical="center"/>
    </xf>
    <xf borderId="140" fillId="4" fontId="54" numFmtId="165" xfId="0" applyAlignment="1" applyBorder="1" applyFont="1" applyNumberFormat="1">
      <alignment horizontal="center" readingOrder="0" vertical="center"/>
    </xf>
    <xf borderId="140" fillId="4" fontId="54" numFmtId="0" xfId="0" applyAlignment="1" applyBorder="1" applyFont="1">
      <alignment horizontal="center" readingOrder="0" vertical="center"/>
    </xf>
    <xf borderId="141" fillId="5" fontId="54" numFmtId="0" xfId="0" applyAlignment="1" applyBorder="1" applyFont="1">
      <alignment horizontal="center" readingOrder="0" vertical="center"/>
    </xf>
    <xf borderId="8" fillId="20" fontId="49" numFmtId="0" xfId="0" applyAlignment="1" applyBorder="1" applyFont="1">
      <alignment horizontal="center" vertical="center"/>
    </xf>
    <xf borderId="8" fillId="5" fontId="51" numFmtId="0" xfId="0" applyAlignment="1" applyBorder="1" applyFont="1">
      <alignment horizontal="center" vertical="center"/>
    </xf>
    <xf borderId="8" fillId="5" fontId="49" numFmtId="3" xfId="0" applyAlignment="1" applyBorder="1" applyFont="1" applyNumberFormat="1">
      <alignment horizontal="center" vertical="center"/>
    </xf>
    <xf borderId="134" fillId="0" fontId="3" numFmtId="0" xfId="0" applyBorder="1" applyFont="1"/>
    <xf borderId="140" fillId="0" fontId="3" numFmtId="0" xfId="0" applyBorder="1" applyFont="1"/>
    <xf borderId="136" fillId="0" fontId="3" numFmtId="0" xfId="0" applyBorder="1" applyFont="1"/>
    <xf borderId="138" fillId="0" fontId="3" numFmtId="0" xfId="0" applyBorder="1" applyFont="1"/>
    <xf borderId="142" fillId="4" fontId="11" numFmtId="165" xfId="0" applyAlignment="1" applyBorder="1" applyFont="1" applyNumberFormat="1">
      <alignment horizontal="center" readingOrder="0" vertical="center"/>
    </xf>
    <xf borderId="137" fillId="0" fontId="3" numFmtId="0" xfId="0" applyBorder="1" applyFont="1"/>
    <xf borderId="142" fillId="4" fontId="6" numFmtId="0" xfId="0" applyAlignment="1" applyBorder="1" applyFont="1">
      <alignment horizontal="center" readingOrder="0" vertical="center"/>
    </xf>
    <xf borderId="139" fillId="0" fontId="3" numFmtId="0" xfId="0" applyBorder="1" applyFont="1"/>
    <xf borderId="143" fillId="0" fontId="3" numFmtId="0" xfId="0" applyBorder="1" applyFont="1"/>
    <xf borderId="135" fillId="0" fontId="3" numFmtId="0" xfId="0" applyBorder="1" applyFont="1"/>
    <xf borderId="144" fillId="4" fontId="54" numFmtId="165" xfId="0" applyAlignment="1" applyBorder="1" applyFont="1" applyNumberFormat="1">
      <alignment horizontal="center" readingOrder="0" vertical="center"/>
    </xf>
    <xf borderId="144" fillId="4" fontId="54" numFmtId="0" xfId="0" applyAlignment="1" applyBorder="1" applyFont="1">
      <alignment horizontal="center" readingOrder="0" vertical="center"/>
    </xf>
    <xf borderId="145" fillId="0" fontId="3" numFmtId="0" xfId="0" applyBorder="1" applyFont="1"/>
    <xf borderId="8" fillId="5" fontId="49" numFmtId="0" xfId="0" applyAlignment="1" applyBorder="1" applyFont="1">
      <alignment horizontal="center" vertical="center"/>
    </xf>
    <xf borderId="146" fillId="4" fontId="11" numFmtId="0" xfId="0" applyAlignment="1" applyBorder="1" applyFont="1">
      <alignment horizontal="center" readingOrder="0" vertical="center"/>
    </xf>
    <xf borderId="147" fillId="4" fontId="52" numFmtId="0" xfId="0" applyAlignment="1" applyBorder="1" applyFont="1">
      <alignment horizontal="center" vertical="center"/>
    </xf>
    <xf borderId="146" fillId="4" fontId="54" numFmtId="0" xfId="0" applyAlignment="1" applyBorder="1" applyFont="1">
      <alignment horizontal="center" readingOrder="0" vertical="center"/>
    </xf>
    <xf borderId="146" fillId="4" fontId="54" numFmtId="165" xfId="0" applyAlignment="1" applyBorder="1" applyFont="1" applyNumberFormat="1">
      <alignment horizontal="center" readingOrder="0" vertical="center"/>
    </xf>
    <xf borderId="148" fillId="5" fontId="54" numFmtId="0" xfId="0" applyAlignment="1" applyBorder="1" applyFont="1">
      <alignment horizontal="center" readingOrder="0" vertical="center"/>
    </xf>
    <xf borderId="144" fillId="4" fontId="54" numFmtId="49" xfId="0" applyAlignment="1" applyBorder="1" applyFont="1" applyNumberFormat="1">
      <alignment horizontal="center" readingOrder="0" vertical="center"/>
    </xf>
    <xf borderId="144" fillId="4" fontId="54" numFmtId="169" xfId="0" applyAlignment="1" applyBorder="1" applyFont="1" applyNumberFormat="1">
      <alignment horizontal="center" readingOrder="0" vertical="center"/>
    </xf>
    <xf borderId="148" fillId="5" fontId="54" numFmtId="169" xfId="0" applyAlignment="1" applyBorder="1" applyFont="1" applyNumberFormat="1">
      <alignment horizontal="center" readingOrder="0" vertical="center"/>
    </xf>
    <xf borderId="147" fillId="4" fontId="52" numFmtId="0" xfId="0" applyAlignment="1" applyBorder="1" applyFont="1">
      <alignment horizontal="center" readingOrder="0" vertical="center"/>
    </xf>
    <xf borderId="149" fillId="5" fontId="54" numFmtId="0" xfId="0" applyAlignment="1" applyBorder="1" applyFont="1">
      <alignment horizontal="center" readingOrder="0" vertical="center"/>
    </xf>
    <xf borderId="8" fillId="20" fontId="49" numFmtId="0" xfId="0" applyAlignment="1" applyBorder="1" applyFont="1">
      <alignment horizontal="center" vertical="bottom"/>
    </xf>
    <xf borderId="8" fillId="20" fontId="50" numFmtId="49" xfId="0" applyAlignment="1" applyBorder="1" applyFont="1" applyNumberFormat="1">
      <alignment horizontal="center" vertical="bottom"/>
    </xf>
    <xf borderId="8" fillId="12" fontId="51" numFmtId="0" xfId="0" applyAlignment="1" applyBorder="1" applyFont="1">
      <alignment horizontal="center" vertical="bottom"/>
    </xf>
    <xf borderId="8" fillId="12" fontId="49" numFmtId="0" xfId="0" applyAlignment="1" applyBorder="1" applyFont="1">
      <alignment horizontal="center" vertical="bottom"/>
    </xf>
    <xf borderId="150" fillId="4" fontId="11" numFmtId="165" xfId="0" applyAlignment="1" applyBorder="1" applyFont="1" applyNumberFormat="1">
      <alignment horizontal="center" readingOrder="0" vertical="center"/>
    </xf>
    <xf borderId="0" fillId="20" fontId="49" numFmtId="0" xfId="0" applyAlignment="1" applyFont="1">
      <alignment horizontal="center" vertical="bottom"/>
    </xf>
    <xf borderId="0" fillId="20" fontId="50" numFmtId="49" xfId="0" applyAlignment="1" applyFont="1" applyNumberFormat="1">
      <alignment horizontal="center" vertical="bottom"/>
    </xf>
    <xf borderId="0" fillId="12" fontId="51" numFmtId="0" xfId="0" applyAlignment="1" applyFont="1">
      <alignment horizontal="center" vertical="bottom"/>
    </xf>
    <xf borderId="0" fillId="12" fontId="49" numFmtId="0" xfId="0" applyAlignment="1" applyFont="1">
      <alignment horizontal="center" vertical="bottom"/>
    </xf>
    <xf borderId="151" fillId="0" fontId="3" numFmtId="0" xfId="0" applyBorder="1" applyFont="1"/>
    <xf borderId="152" fillId="0" fontId="3" numFmtId="0" xfId="0" applyBorder="1" applyFont="1"/>
    <xf borderId="153" fillId="4" fontId="54" numFmtId="165" xfId="0" applyAlignment="1" applyBorder="1" applyFont="1" applyNumberFormat="1">
      <alignment horizontal="center" readingOrder="0" vertical="center"/>
    </xf>
    <xf borderId="153" fillId="4" fontId="54" numFmtId="49" xfId="0" applyAlignment="1" applyBorder="1" applyFont="1" applyNumberFormat="1">
      <alignment horizontal="center" readingOrder="0" vertical="center"/>
    </xf>
    <xf borderId="154" fillId="0" fontId="3" numFmtId="0" xfId="0" applyBorder="1" applyFont="1"/>
    <xf borderId="0" fillId="5" fontId="49" numFmtId="0" xfId="0" applyAlignment="1" applyFont="1">
      <alignment horizontal="center" vertical="center"/>
    </xf>
    <xf borderId="0" fillId="5" fontId="50" numFmtId="0" xfId="0" applyAlignment="1" applyFont="1">
      <alignment horizontal="center" vertical="center"/>
    </xf>
    <xf borderId="0" fillId="5" fontId="51" numFmtId="0" xfId="0" applyAlignment="1" applyFont="1">
      <alignment horizontal="center" vertical="center"/>
    </xf>
    <xf borderId="142" fillId="4" fontId="55" numFmtId="165" xfId="0" applyAlignment="1" applyBorder="1" applyFont="1" applyNumberFormat="1">
      <alignment horizontal="center" readingOrder="0" vertical="center"/>
    </xf>
    <xf borderId="155" fillId="4" fontId="11" numFmtId="165" xfId="0" applyAlignment="1" applyBorder="1" applyFont="1" applyNumberFormat="1">
      <alignment horizontal="center" readingOrder="0" vertical="center"/>
    </xf>
    <xf borderId="150" fillId="4" fontId="6" numFmtId="0" xfId="0" applyAlignment="1" applyBorder="1" applyFont="1">
      <alignment horizontal="center" readingOrder="0" vertical="center"/>
    </xf>
    <xf borderId="0" fillId="5" fontId="52" numFmtId="0" xfId="0" applyAlignment="1" applyFont="1">
      <alignment horizontal="center" readingOrder="0" vertical="center"/>
    </xf>
    <xf borderId="0" fillId="5" fontId="53" numFmtId="168" xfId="0" applyAlignment="1" applyFont="1" applyNumberFormat="1">
      <alignment horizontal="center" readingOrder="0" vertical="center"/>
    </xf>
    <xf borderId="0" fillId="5" fontId="54" numFmtId="0" xfId="0" applyAlignment="1" applyFont="1">
      <alignment horizontal="center" readingOrder="0" vertical="center"/>
    </xf>
    <xf borderId="0" fillId="5" fontId="54" numFmtId="165" xfId="0" applyAlignment="1" applyFont="1" applyNumberFormat="1">
      <alignment horizontal="center" readingOrder="0" vertical="center"/>
    </xf>
    <xf borderId="0" fillId="5" fontId="54" numFmtId="49" xfId="0" applyAlignment="1" applyFont="1" applyNumberFormat="1">
      <alignment horizontal="center" readingOrder="0" vertical="center"/>
    </xf>
    <xf borderId="0" fillId="5" fontId="56" numFmtId="0" xfId="0" applyAlignment="1" applyFont="1">
      <alignment horizontal="center" readingOrder="0" vertical="center"/>
    </xf>
    <xf borderId="156" fillId="5" fontId="56" numFmtId="0" xfId="0" applyAlignment="1" applyBorder="1" applyFont="1">
      <alignment horizontal="center" readingOrder="0" vertical="center"/>
    </xf>
    <xf borderId="157" fillId="0" fontId="3" numFmtId="0" xfId="0" applyBorder="1" applyFont="1"/>
    <xf borderId="158" fillId="0" fontId="3" numFmtId="0" xfId="0" applyBorder="1" applyFont="1"/>
    <xf borderId="156" fillId="5" fontId="56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159" fillId="13" fontId="27" numFmtId="0" xfId="0" applyAlignment="1" applyBorder="1" applyFont="1">
      <alignment horizontal="center" readingOrder="0" vertical="center"/>
    </xf>
    <xf borderId="160" fillId="12" fontId="3" numFmtId="0" xfId="0" applyBorder="1" applyFont="1"/>
    <xf borderId="161" fillId="12" fontId="3" numFmtId="0" xfId="0" applyBorder="1" applyFont="1"/>
    <xf borderId="162" fillId="13" fontId="28" numFmtId="0" xfId="0" applyAlignment="1" applyBorder="1" applyFont="1">
      <alignment horizontal="center" shrinkToFit="0" vertical="center" wrapText="1"/>
    </xf>
    <xf borderId="163" fillId="13" fontId="57" numFmtId="0" xfId="0" applyAlignment="1" applyBorder="1" applyFont="1">
      <alignment horizontal="center" readingOrder="0" vertical="center"/>
    </xf>
    <xf borderId="164" fillId="0" fontId="3" numFmtId="0" xfId="0" applyBorder="1" applyFont="1"/>
    <xf borderId="165" fillId="0" fontId="3" numFmtId="0" xfId="0" applyBorder="1" applyFont="1"/>
    <xf borderId="166" fillId="15" fontId="29" numFmtId="0" xfId="0" applyAlignment="1" applyBorder="1" applyFont="1">
      <alignment horizontal="center" readingOrder="0" vertical="center"/>
    </xf>
    <xf borderId="167" fillId="14" fontId="3" numFmtId="0" xfId="0" applyBorder="1" applyFont="1"/>
    <xf borderId="168" fillId="15" fontId="57" numFmtId="0" xfId="0" applyAlignment="1" applyBorder="1" applyFont="1">
      <alignment horizontal="center" readingOrder="0" vertical="center"/>
    </xf>
    <xf borderId="169" fillId="15" fontId="57" numFmtId="0" xfId="0" applyAlignment="1" applyBorder="1" applyFont="1">
      <alignment horizontal="center" readingOrder="0" vertical="center"/>
    </xf>
    <xf borderId="170" fillId="15" fontId="57" numFmtId="0" xfId="0" applyAlignment="1" applyBorder="1" applyFont="1">
      <alignment horizontal="center" readingOrder="0" vertical="center"/>
    </xf>
    <xf borderId="171" fillId="16" fontId="30" numFmtId="0" xfId="0" applyAlignment="1" applyBorder="1" applyFont="1">
      <alignment horizontal="center" vertical="center"/>
    </xf>
    <xf borderId="76" fillId="16" fontId="31" numFmtId="170" xfId="0" applyAlignment="1" applyBorder="1" applyFont="1" applyNumberFormat="1">
      <alignment horizontal="center" readingOrder="0" vertical="center"/>
    </xf>
    <xf borderId="172" fillId="16" fontId="32" numFmtId="0" xfId="0" applyAlignment="1" applyBorder="1" applyFont="1">
      <alignment horizontal="center" readingOrder="0" vertical="center"/>
    </xf>
    <xf borderId="173" fillId="0" fontId="58" numFmtId="0" xfId="0" applyAlignment="1" applyBorder="1" applyFont="1">
      <alignment horizontal="center" readingOrder="0" vertical="center"/>
    </xf>
    <xf borderId="174" fillId="0" fontId="58" numFmtId="0" xfId="0" applyAlignment="1" applyBorder="1" applyFont="1">
      <alignment horizontal="center" readingOrder="0" vertical="center"/>
    </xf>
    <xf borderId="174" fillId="0" fontId="58" numFmtId="165" xfId="0" applyAlignment="1" applyBorder="1" applyFont="1" applyNumberFormat="1">
      <alignment horizontal="center" readingOrder="0" vertical="center"/>
    </xf>
    <xf borderId="175" fillId="0" fontId="58" numFmtId="165" xfId="0" applyAlignment="1" applyBorder="1" applyFont="1" applyNumberFormat="1">
      <alignment horizontal="center" vertical="center"/>
    </xf>
    <xf borderId="176" fillId="16" fontId="30" numFmtId="0" xfId="0" applyAlignment="1" applyBorder="1" applyFont="1">
      <alignment horizontal="center" vertical="center"/>
    </xf>
    <xf borderId="177" fillId="14" fontId="3" numFmtId="0" xfId="0" applyBorder="1" applyFont="1"/>
    <xf borderId="178" fillId="16" fontId="32" numFmtId="0" xfId="0" applyAlignment="1" applyBorder="1" applyFont="1">
      <alignment horizontal="center" readingOrder="0" vertical="center"/>
    </xf>
    <xf borderId="178" fillId="16" fontId="32" numFmtId="165" xfId="0" applyAlignment="1" applyBorder="1" applyFont="1" applyNumberFormat="1">
      <alignment horizontal="center" readingOrder="0" vertical="center"/>
    </xf>
    <xf borderId="177" fillId="16" fontId="32" numFmtId="165" xfId="0" applyAlignment="1" applyBorder="1" applyFont="1" applyNumberFormat="1">
      <alignment horizontal="center" readingOrder="0" vertical="center"/>
    </xf>
    <xf borderId="179" fillId="16" fontId="32" numFmtId="0" xfId="0" applyAlignment="1" applyBorder="1" applyFont="1">
      <alignment horizontal="center" readingOrder="0" vertical="center"/>
    </xf>
    <xf borderId="180" fillId="16" fontId="32" numFmtId="0" xfId="0" applyAlignment="1" applyBorder="1" applyFont="1">
      <alignment horizontal="center" readingOrder="0" vertical="center"/>
    </xf>
    <xf borderId="181" fillId="0" fontId="58" numFmtId="0" xfId="0" applyAlignment="1" applyBorder="1" applyFont="1">
      <alignment horizontal="center" readingOrder="0" vertical="center"/>
    </xf>
    <xf borderId="182" fillId="0" fontId="58" numFmtId="0" xfId="0" applyAlignment="1" applyBorder="1" applyFont="1">
      <alignment horizontal="center" readingOrder="0" vertical="center"/>
    </xf>
    <xf borderId="182" fillId="0" fontId="58" numFmtId="165" xfId="0" applyAlignment="1" applyBorder="1" applyFont="1" applyNumberFormat="1">
      <alignment horizontal="center" readingOrder="0" vertical="center"/>
    </xf>
    <xf borderId="183" fillId="0" fontId="58" numFmtId="165" xfId="0" applyAlignment="1" applyBorder="1" applyFont="1" applyNumberFormat="1">
      <alignment horizontal="center" vertical="center"/>
    </xf>
    <xf borderId="184" fillId="15" fontId="29" numFmtId="0" xfId="0" applyAlignment="1" applyBorder="1" applyFont="1">
      <alignment horizontal="center" readingOrder="0" vertical="center"/>
    </xf>
    <xf borderId="81" fillId="15" fontId="29" numFmtId="0" xfId="0" applyAlignment="1" applyBorder="1" applyFont="1">
      <alignment horizontal="center" readingOrder="0" vertical="center"/>
    </xf>
    <xf borderId="185" fillId="15" fontId="29" numFmtId="0" xfId="0" applyAlignment="1" applyBorder="1" applyFont="1">
      <alignment horizontal="center" readingOrder="0" vertical="center"/>
    </xf>
    <xf borderId="91" fillId="15" fontId="29" numFmtId="0" xfId="0" applyAlignment="1" applyBorder="1" applyFont="1">
      <alignment horizontal="center" readingOrder="0" vertical="center"/>
    </xf>
    <xf borderId="186" fillId="15" fontId="29" numFmtId="0" xfId="0" applyAlignment="1" applyBorder="1" applyFont="1">
      <alignment horizontal="center" readingOrder="0" vertical="center"/>
    </xf>
    <xf borderId="187" fillId="16" fontId="32" numFmtId="0" xfId="0" applyAlignment="1" applyBorder="1" applyFont="1">
      <alignment horizontal="center" readingOrder="0" vertical="center"/>
    </xf>
    <xf borderId="187" fillId="5" fontId="32" numFmtId="0" xfId="0" applyAlignment="1" applyBorder="1" applyFont="1">
      <alignment horizontal="center" readingOrder="0" vertical="center"/>
    </xf>
    <xf borderId="180" fillId="5" fontId="32" numFmtId="0" xfId="0" applyAlignment="1" applyBorder="1" applyFont="1">
      <alignment horizontal="center" readingOrder="0" vertical="center"/>
    </xf>
    <xf borderId="188" fillId="9" fontId="59" numFmtId="0" xfId="0" applyAlignment="1" applyBorder="1" applyFont="1">
      <alignment horizontal="center" readingOrder="0" vertical="center"/>
    </xf>
    <xf borderId="189" fillId="0" fontId="3" numFmtId="0" xfId="0" applyBorder="1" applyFont="1"/>
    <xf borderId="190" fillId="0" fontId="3" numFmtId="0" xfId="0" applyBorder="1" applyFont="1"/>
    <xf borderId="44" fillId="10" fontId="60" numFmtId="0" xfId="0" applyAlignment="1" applyBorder="1" applyFont="1">
      <alignment horizontal="center" readingOrder="0"/>
    </xf>
    <xf borderId="53" fillId="0" fontId="9" numFmtId="0" xfId="0" applyAlignment="1" applyBorder="1" applyFont="1">
      <alignment readingOrder="0"/>
    </xf>
    <xf borderId="41" fillId="0" fontId="9" numFmtId="164" xfId="0" applyAlignment="1" applyBorder="1" applyFont="1" applyNumberFormat="1">
      <alignment horizontal="center" readingOrder="0"/>
    </xf>
    <xf borderId="41" fillId="0" fontId="9" numFmtId="165" xfId="0" applyAlignment="1" applyBorder="1" applyFont="1" applyNumberFormat="1">
      <alignment readingOrder="0"/>
    </xf>
    <xf borderId="41" fillId="0" fontId="9" numFmtId="0" xfId="0" applyBorder="1" applyFont="1"/>
    <xf borderId="54" fillId="0" fontId="9" numFmtId="0" xfId="0" applyBorder="1" applyFont="1"/>
    <xf borderId="55" fillId="0" fontId="9" numFmtId="0" xfId="0" applyBorder="1" applyFont="1"/>
    <xf borderId="44" fillId="0" fontId="9" numFmtId="164" xfId="0" applyAlignment="1" applyBorder="1" applyFont="1" applyNumberFormat="1">
      <alignment horizontal="center" readingOrder="0"/>
    </xf>
    <xf borderId="44" fillId="0" fontId="9" numFmtId="165" xfId="0" applyBorder="1" applyFont="1" applyNumberFormat="1"/>
    <xf borderId="44" fillId="0" fontId="9" numFmtId="0" xfId="0" applyBorder="1" applyFont="1"/>
    <xf borderId="191" fillId="0" fontId="9" numFmtId="0" xfId="0" applyBorder="1" applyFont="1"/>
    <xf borderId="44" fillId="0" fontId="9" numFmtId="0" xfId="0" applyAlignment="1" applyBorder="1" applyFont="1">
      <alignment horizontal="center"/>
    </xf>
    <xf borderId="56" fillId="0" fontId="9" numFmtId="0" xfId="0" applyBorder="1" applyFont="1"/>
    <xf borderId="57" fillId="0" fontId="9" numFmtId="0" xfId="0" applyAlignment="1" applyBorder="1" applyFont="1">
      <alignment horizontal="center"/>
    </xf>
    <xf borderId="57" fillId="0" fontId="9" numFmtId="165" xfId="0" applyBorder="1" applyFont="1" applyNumberFormat="1"/>
    <xf borderId="57" fillId="0" fontId="9" numFmtId="0" xfId="0" applyBorder="1" applyFont="1"/>
    <xf borderId="192" fillId="0" fontId="9" numFmtId="0" xfId="0" applyBorder="1" applyFont="1"/>
    <xf borderId="193" fillId="21" fontId="61" numFmtId="0" xfId="0" applyAlignment="1" applyBorder="1" applyFill="1" applyFont="1">
      <alignment horizontal="center" readingOrder="0" shrinkToFit="0" vertical="center" wrapText="1"/>
    </xf>
    <xf borderId="194" fillId="0" fontId="3" numFmtId="0" xfId="0" applyBorder="1" applyFont="1"/>
    <xf borderId="195" fillId="0" fontId="3" numFmtId="0" xfId="0" applyBorder="1" applyFont="1"/>
    <xf borderId="196" fillId="22" fontId="62" numFmtId="0" xfId="0" applyAlignment="1" applyBorder="1" applyFill="1" applyFont="1">
      <alignment horizontal="center" readingOrder="0" vertical="center"/>
    </xf>
    <xf borderId="197" fillId="0" fontId="9" numFmtId="0" xfId="0" applyAlignment="1" applyBorder="1" applyFont="1">
      <alignment horizontal="center" readingOrder="0" vertical="center"/>
    </xf>
    <xf borderId="198" fillId="0" fontId="9" numFmtId="165" xfId="0" applyAlignment="1" applyBorder="1" applyFont="1" applyNumberFormat="1">
      <alignment horizontal="center" readingOrder="0" vertical="center"/>
    </xf>
    <xf borderId="198" fillId="0" fontId="9" numFmtId="0" xfId="0" applyAlignment="1" applyBorder="1" applyFont="1">
      <alignment horizontal="center" readingOrder="0" vertical="center"/>
    </xf>
    <xf borderId="198" fillId="0" fontId="9" numFmtId="165" xfId="0" applyAlignment="1" applyBorder="1" applyFont="1" applyNumberFormat="1">
      <alignment horizontal="center" vertical="center"/>
    </xf>
    <xf borderId="199" fillId="0" fontId="9" numFmtId="165" xfId="0" applyAlignment="1" applyBorder="1" applyFont="1" applyNumberFormat="1">
      <alignment horizontal="center" vertical="center"/>
    </xf>
    <xf borderId="200" fillId="0" fontId="9" numFmtId="0" xfId="0" applyAlignment="1" applyBorder="1" applyFont="1">
      <alignment horizontal="center" readingOrder="0" vertical="center"/>
    </xf>
    <xf borderId="201" fillId="0" fontId="9" numFmtId="165" xfId="0" applyAlignment="1" applyBorder="1" applyFont="1" applyNumberFormat="1">
      <alignment horizontal="center" readingOrder="0" vertical="center"/>
    </xf>
    <xf borderId="201" fillId="0" fontId="9" numFmtId="0" xfId="0" applyAlignment="1" applyBorder="1" applyFont="1">
      <alignment horizontal="center" readingOrder="0" vertical="center"/>
    </xf>
    <xf borderId="201" fillId="0" fontId="9" numFmtId="165" xfId="0" applyAlignment="1" applyBorder="1" applyFont="1" applyNumberFormat="1">
      <alignment horizontal="center" vertical="center"/>
    </xf>
    <xf borderId="202" fillId="0" fontId="9" numFmtId="165" xfId="0" applyAlignment="1" applyBorder="1" applyFont="1" applyNumberFormat="1">
      <alignment horizontal="center" vertical="center"/>
    </xf>
    <xf borderId="203" fillId="0" fontId="9" numFmtId="0" xfId="0" applyAlignment="1" applyBorder="1" applyFont="1">
      <alignment horizontal="center" readingOrder="0" vertical="center"/>
    </xf>
    <xf borderId="204" fillId="0" fontId="9" numFmtId="165" xfId="0" applyAlignment="1" applyBorder="1" applyFont="1" applyNumberFormat="1">
      <alignment horizontal="center" readingOrder="0" vertical="center"/>
    </xf>
    <xf borderId="204" fillId="0" fontId="9" numFmtId="0" xfId="0" applyAlignment="1" applyBorder="1" applyFont="1">
      <alignment horizontal="center" readingOrder="0" vertical="center"/>
    </xf>
    <xf borderId="204" fillId="0" fontId="9" numFmtId="165" xfId="0" applyAlignment="1" applyBorder="1" applyFont="1" applyNumberFormat="1">
      <alignment horizontal="center" vertical="center"/>
    </xf>
    <xf borderId="205" fillId="0" fontId="9" numFmtId="165" xfId="0" applyAlignment="1" applyBorder="1" applyFont="1" applyNumberFormat="1">
      <alignment horizontal="center" vertical="center"/>
    </xf>
    <xf borderId="193" fillId="21" fontId="63" numFmtId="0" xfId="0" applyAlignment="1" applyBorder="1" applyFont="1">
      <alignment horizontal="center" readingOrder="0" vertical="center"/>
    </xf>
    <xf borderId="196" fillId="21" fontId="63" numFmtId="165" xfId="0" applyAlignment="1" applyBorder="1" applyFont="1" applyNumberFormat="1">
      <alignment horizontal="center" vertical="center"/>
    </xf>
    <xf borderId="196" fillId="21" fontId="6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9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1C4587"/>
      </font>
      <fill>
        <patternFill patternType="solid">
          <fgColor rgb="FFC9DAF8"/>
          <bgColor rgb="FFC9DAF8"/>
        </patternFill>
      </fill>
      <border/>
    </dxf>
  </dxfs>
  <tableStyles count="1">
    <tableStyle count="2" pivot="0" name="Estagiários - Business -style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X46:Y63" displayName="Table_1" name="Table_1" id="1">
  <tableColumns count="2">
    <tableColumn name="Column1" id="1"/>
    <tableColumn name="Column2" id="2"/>
  </tableColumns>
  <tableStyleInfo name="Estagiários - Busines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7.13"/>
    <col customWidth="1" min="3" max="3" width="25.25"/>
    <col customWidth="1" min="4" max="4" width="17.63"/>
    <col customWidth="1" min="5" max="5" width="15.63"/>
    <col customWidth="1" min="6" max="6" width="29.0"/>
    <col customWidth="1" min="7" max="7" width="19.25"/>
    <col customWidth="1" min="8" max="8" width="27.63"/>
    <col customWidth="1" min="9" max="9" width="20.0"/>
    <col customWidth="1" min="10" max="11" width="22.38"/>
    <col customWidth="1" min="12" max="12" width="19.13"/>
    <col customWidth="1" min="13" max="13" width="20.75"/>
  </cols>
  <sheetData>
    <row r="1">
      <c r="A1" s="1" t="s">
        <v>0</v>
      </c>
    </row>
    <row r="2">
      <c r="B2" s="2">
        <v>46023.0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B3" s="5" t="s">
        <v>1</v>
      </c>
      <c r="C3" s="6" t="s">
        <v>2</v>
      </c>
      <c r="D3" s="7" t="s">
        <v>3</v>
      </c>
      <c r="E3" s="7" t="s">
        <v>4</v>
      </c>
      <c r="F3" s="8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9" t="s">
        <v>11</v>
      </c>
      <c r="M3" s="10" t="s">
        <v>12</v>
      </c>
    </row>
    <row r="4" ht="39.0" customHeight="1">
      <c r="B4" s="11" t="s">
        <v>13</v>
      </c>
      <c r="C4" s="12" t="s">
        <v>14</v>
      </c>
      <c r="D4" s="13" t="s">
        <v>15</v>
      </c>
      <c r="E4" s="13" t="s">
        <v>15</v>
      </c>
      <c r="F4" s="14" t="s">
        <v>16</v>
      </c>
      <c r="G4" s="14" t="s">
        <v>17</v>
      </c>
      <c r="H4" s="15">
        <v>91639.2</v>
      </c>
      <c r="I4" s="13" t="s">
        <v>18</v>
      </c>
      <c r="J4" s="16"/>
      <c r="K4" s="17"/>
      <c r="L4" s="17"/>
      <c r="M4" s="18"/>
    </row>
    <row r="5">
      <c r="B5" s="11" t="s">
        <v>19</v>
      </c>
      <c r="C5" s="12" t="s">
        <v>20</v>
      </c>
      <c r="D5" s="19" t="s">
        <v>21</v>
      </c>
      <c r="E5" s="19" t="s">
        <v>21</v>
      </c>
      <c r="F5" s="14" t="s">
        <v>22</v>
      </c>
      <c r="G5" s="14" t="s">
        <v>23</v>
      </c>
      <c r="H5" s="15">
        <v>89962.18</v>
      </c>
      <c r="I5" s="13" t="s">
        <v>24</v>
      </c>
      <c r="J5" s="16">
        <v>8178.38</v>
      </c>
      <c r="K5" s="17" t="s">
        <v>25</v>
      </c>
      <c r="L5" s="17" t="s">
        <v>26</v>
      </c>
      <c r="M5" s="18" t="s">
        <v>26</v>
      </c>
    </row>
    <row r="6">
      <c r="B6" s="11" t="s">
        <v>27</v>
      </c>
      <c r="C6" s="12" t="s">
        <v>28</v>
      </c>
      <c r="D6" s="13" t="s">
        <v>29</v>
      </c>
      <c r="E6" s="13" t="s">
        <v>30</v>
      </c>
      <c r="F6" s="14" t="s">
        <v>31</v>
      </c>
      <c r="G6" s="14" t="s">
        <v>32</v>
      </c>
      <c r="H6" s="15">
        <v>40169.99</v>
      </c>
      <c r="I6" s="13" t="s">
        <v>33</v>
      </c>
      <c r="J6" s="16"/>
      <c r="K6" s="17"/>
      <c r="L6" s="17"/>
      <c r="M6" s="18"/>
    </row>
    <row r="7">
      <c r="B7" s="20" t="s">
        <v>34</v>
      </c>
      <c r="C7" s="21" t="s">
        <v>35</v>
      </c>
      <c r="D7" s="22" t="s">
        <v>36</v>
      </c>
      <c r="E7" s="22" t="s">
        <v>36</v>
      </c>
      <c r="F7" s="23" t="s">
        <v>37</v>
      </c>
      <c r="G7" s="23" t="s">
        <v>38</v>
      </c>
      <c r="H7" s="24">
        <v>337528.95</v>
      </c>
      <c r="I7" s="22" t="s">
        <v>39</v>
      </c>
      <c r="J7" s="16"/>
      <c r="K7" s="17"/>
      <c r="L7" s="17"/>
      <c r="M7" s="18"/>
    </row>
    <row r="8">
      <c r="B8" s="20" t="s">
        <v>40</v>
      </c>
      <c r="C8" s="21" t="s">
        <v>41</v>
      </c>
      <c r="D8" s="22" t="s">
        <v>42</v>
      </c>
      <c r="E8" s="22" t="s">
        <v>42</v>
      </c>
      <c r="F8" s="23" t="s">
        <v>43</v>
      </c>
      <c r="G8" s="23" t="s">
        <v>44</v>
      </c>
      <c r="H8" s="24"/>
      <c r="I8" s="22"/>
      <c r="J8" s="16"/>
      <c r="K8" s="17"/>
      <c r="L8" s="17"/>
      <c r="M8" s="18"/>
    </row>
    <row r="9">
      <c r="B9" s="11" t="s">
        <v>45</v>
      </c>
      <c r="C9" s="12" t="s">
        <v>46</v>
      </c>
      <c r="D9" s="13" t="s">
        <v>47</v>
      </c>
      <c r="E9" s="13" t="s">
        <v>48</v>
      </c>
      <c r="F9" s="14" t="s">
        <v>49</v>
      </c>
      <c r="G9" s="14" t="s">
        <v>50</v>
      </c>
      <c r="H9" s="15">
        <v>68453.08</v>
      </c>
      <c r="I9" s="13" t="s">
        <v>51</v>
      </c>
      <c r="J9" s="16">
        <v>8633.48</v>
      </c>
      <c r="K9" s="17" t="s">
        <v>25</v>
      </c>
      <c r="L9" s="17" t="s">
        <v>52</v>
      </c>
      <c r="M9" s="18" t="s">
        <v>52</v>
      </c>
    </row>
    <row r="10">
      <c r="B10" s="11" t="s">
        <v>53</v>
      </c>
      <c r="C10" s="25" t="s">
        <v>54</v>
      </c>
      <c r="D10" s="13" t="s">
        <v>55</v>
      </c>
      <c r="E10" s="13" t="s">
        <v>55</v>
      </c>
      <c r="F10" s="14" t="s">
        <v>56</v>
      </c>
      <c r="G10" s="14" t="s">
        <v>57</v>
      </c>
      <c r="H10" s="15">
        <v>307782.9</v>
      </c>
      <c r="I10" s="13" t="s">
        <v>58</v>
      </c>
      <c r="J10" s="16">
        <v>30778.29</v>
      </c>
      <c r="K10" s="17" t="s">
        <v>25</v>
      </c>
      <c r="L10" s="17" t="s">
        <v>52</v>
      </c>
      <c r="M10" s="26"/>
    </row>
    <row r="11">
      <c r="B11" s="27">
        <v>45658.0</v>
      </c>
      <c r="C11" s="25" t="s">
        <v>59</v>
      </c>
      <c r="D11" s="19" t="s">
        <v>60</v>
      </c>
      <c r="E11" s="19" t="s">
        <v>60</v>
      </c>
      <c r="F11" s="14" t="s">
        <v>61</v>
      </c>
      <c r="G11" s="14" t="s">
        <v>62</v>
      </c>
      <c r="H11" s="15">
        <v>2777.94</v>
      </c>
      <c r="I11" s="13" t="s">
        <v>63</v>
      </c>
      <c r="J11" s="16"/>
      <c r="K11" s="17"/>
      <c r="L11" s="17"/>
      <c r="M11" s="26"/>
    </row>
    <row r="12">
      <c r="B12" s="27">
        <v>45689.0</v>
      </c>
      <c r="C12" s="12" t="s">
        <v>64</v>
      </c>
      <c r="D12" s="13" t="s">
        <v>65</v>
      </c>
      <c r="E12" s="13" t="s">
        <v>65</v>
      </c>
      <c r="F12" s="14" t="s">
        <v>66</v>
      </c>
      <c r="G12" s="14" t="s">
        <v>67</v>
      </c>
      <c r="H12" s="15">
        <v>5700.0</v>
      </c>
      <c r="I12" s="13" t="s">
        <v>68</v>
      </c>
      <c r="J12" s="16"/>
      <c r="K12" s="17"/>
      <c r="L12" s="17"/>
      <c r="M12" s="26"/>
    </row>
    <row r="13">
      <c r="B13" s="28">
        <v>45717.0</v>
      </c>
      <c r="C13" s="12" t="s">
        <v>69</v>
      </c>
      <c r="D13" s="13" t="s">
        <v>70</v>
      </c>
      <c r="E13" s="13" t="s">
        <v>70</v>
      </c>
      <c r="F13" s="14" t="s">
        <v>71</v>
      </c>
      <c r="G13" s="14" t="s">
        <v>72</v>
      </c>
      <c r="H13" s="15">
        <v>1320.0</v>
      </c>
      <c r="I13" s="19" t="s">
        <v>73</v>
      </c>
      <c r="J13" s="16"/>
      <c r="K13" s="17"/>
      <c r="L13" s="17"/>
      <c r="M13" s="26"/>
    </row>
    <row r="14">
      <c r="B14" s="11" t="s">
        <v>74</v>
      </c>
      <c r="C14" s="12" t="s">
        <v>75</v>
      </c>
      <c r="D14" s="13" t="s">
        <v>76</v>
      </c>
      <c r="E14" s="13" t="s">
        <v>77</v>
      </c>
      <c r="F14" s="14" t="s">
        <v>78</v>
      </c>
      <c r="G14" s="14" t="s">
        <v>79</v>
      </c>
      <c r="H14" s="15">
        <v>3892.78</v>
      </c>
      <c r="I14" s="19" t="s">
        <v>80</v>
      </c>
      <c r="J14" s="16">
        <v>666.8</v>
      </c>
      <c r="K14" s="17" t="s">
        <v>81</v>
      </c>
      <c r="L14" s="17" t="s">
        <v>26</v>
      </c>
      <c r="M14" s="26"/>
    </row>
    <row r="15">
      <c r="B15" s="11" t="s">
        <v>82</v>
      </c>
      <c r="C15" s="12" t="s">
        <v>83</v>
      </c>
      <c r="D15" s="13" t="s">
        <v>84</v>
      </c>
      <c r="E15" s="13" t="s">
        <v>84</v>
      </c>
      <c r="F15" s="14" t="s">
        <v>85</v>
      </c>
      <c r="G15" s="14" t="s">
        <v>86</v>
      </c>
      <c r="H15" s="15">
        <v>64559.71</v>
      </c>
      <c r="I15" s="17" t="s">
        <v>87</v>
      </c>
      <c r="J15" s="16" t="s">
        <v>88</v>
      </c>
      <c r="K15" s="17" t="s">
        <v>88</v>
      </c>
      <c r="L15" s="17" t="s">
        <v>88</v>
      </c>
      <c r="M15" s="18" t="s">
        <v>88</v>
      </c>
    </row>
    <row r="16" ht="30.75" customHeight="1">
      <c r="B16" s="11" t="s">
        <v>89</v>
      </c>
      <c r="C16" s="12" t="s">
        <v>90</v>
      </c>
      <c r="D16" s="13" t="s">
        <v>91</v>
      </c>
      <c r="E16" s="13" t="s">
        <v>91</v>
      </c>
      <c r="F16" s="14" t="s">
        <v>92</v>
      </c>
      <c r="G16" s="14" t="s">
        <v>93</v>
      </c>
      <c r="H16" s="15">
        <v>12168.18</v>
      </c>
      <c r="I16" s="19" t="s">
        <v>94</v>
      </c>
      <c r="J16" s="16">
        <v>12168.18</v>
      </c>
      <c r="K16" s="17" t="s">
        <v>25</v>
      </c>
      <c r="L16" s="17" t="s">
        <v>26</v>
      </c>
      <c r="M16" s="18" t="s">
        <v>26</v>
      </c>
    </row>
    <row r="17" ht="30.75" customHeight="1">
      <c r="B17" s="27">
        <v>45901.0</v>
      </c>
      <c r="C17" s="12" t="s">
        <v>95</v>
      </c>
      <c r="D17" s="13" t="s">
        <v>96</v>
      </c>
      <c r="E17" s="13"/>
      <c r="F17" s="14" t="s">
        <v>97</v>
      </c>
      <c r="G17" s="14" t="s">
        <v>98</v>
      </c>
      <c r="H17" s="15">
        <v>23450.0</v>
      </c>
      <c r="I17" s="19" t="s">
        <v>99</v>
      </c>
      <c r="J17" s="16">
        <v>7035.0</v>
      </c>
      <c r="K17" s="17" t="s">
        <v>25</v>
      </c>
      <c r="L17" s="17" t="s">
        <v>26</v>
      </c>
      <c r="M17" s="18" t="s">
        <v>52</v>
      </c>
    </row>
    <row r="18">
      <c r="B18" s="11" t="s">
        <v>100</v>
      </c>
      <c r="C18" s="12" t="s">
        <v>101</v>
      </c>
      <c r="D18" s="13" t="s">
        <v>102</v>
      </c>
      <c r="E18" s="13" t="s">
        <v>103</v>
      </c>
      <c r="F18" s="14" t="s">
        <v>104</v>
      </c>
      <c r="G18" s="14" t="s">
        <v>105</v>
      </c>
      <c r="H18" s="15">
        <v>73.1</v>
      </c>
      <c r="I18" s="13" t="s">
        <v>106</v>
      </c>
      <c r="J18" s="16" t="s">
        <v>88</v>
      </c>
      <c r="K18" s="17" t="s">
        <v>88</v>
      </c>
      <c r="L18" s="17" t="s">
        <v>88</v>
      </c>
      <c r="M18" s="18" t="s">
        <v>88</v>
      </c>
    </row>
    <row r="19">
      <c r="B19" s="20" t="s">
        <v>107</v>
      </c>
      <c r="C19" s="21" t="s">
        <v>108</v>
      </c>
      <c r="D19" s="22" t="s">
        <v>107</v>
      </c>
      <c r="E19" s="22" t="s">
        <v>109</v>
      </c>
      <c r="F19" s="23" t="s">
        <v>110</v>
      </c>
      <c r="G19" s="23" t="s">
        <v>111</v>
      </c>
      <c r="H19" s="24"/>
      <c r="I19" s="17"/>
      <c r="J19" s="16"/>
      <c r="K19" s="17"/>
      <c r="L19" s="17"/>
      <c r="M19" s="26"/>
    </row>
    <row r="20">
      <c r="B20" s="20" t="s">
        <v>112</v>
      </c>
      <c r="C20" s="21" t="s">
        <v>113</v>
      </c>
      <c r="D20" s="22" t="s">
        <v>112</v>
      </c>
      <c r="E20" s="22" t="s">
        <v>114</v>
      </c>
      <c r="F20" s="23" t="s">
        <v>115</v>
      </c>
      <c r="G20" s="23" t="s">
        <v>111</v>
      </c>
      <c r="H20" s="24"/>
      <c r="I20" s="17"/>
      <c r="J20" s="16"/>
      <c r="K20" s="17"/>
      <c r="L20" s="17"/>
      <c r="M20" s="26"/>
      <c r="N20" s="29"/>
      <c r="O20" s="29"/>
    </row>
    <row r="21">
      <c r="B21" s="30"/>
      <c r="C21" s="31"/>
      <c r="D21" s="32"/>
      <c r="E21" s="32"/>
      <c r="F21" s="32"/>
      <c r="G21" s="32"/>
      <c r="H21" s="33"/>
      <c r="I21" s="34"/>
      <c r="J21" s="35"/>
      <c r="K21" s="34"/>
      <c r="L21" s="36"/>
      <c r="M21" s="37"/>
      <c r="N21" s="29"/>
      <c r="O21" s="29"/>
    </row>
  </sheetData>
  <mergeCells count="1">
    <mergeCell ref="B2:M2"/>
  </mergeCells>
  <conditionalFormatting sqref="M4:M21">
    <cfRule type="containsText" dxfId="0" priority="1" operator="containsText" text="ok">
      <formula>NOT(ISERROR(SEARCH(("ok"),(M4))))</formula>
    </cfRule>
  </conditionalFormatting>
  <conditionalFormatting sqref="M4:M21">
    <cfRule type="containsText" dxfId="1" priority="2" operator="containsText" text="não">
      <formula>NOT(ISERROR(SEARCH(("não"),(M4))))</formula>
    </cfRule>
  </conditionalFormatting>
  <conditionalFormatting sqref="L4:L20">
    <cfRule type="containsText" dxfId="1" priority="3" operator="containsText" text="não">
      <formula>NOT(ISERROR(SEARCH(("não"),(L4))))</formula>
    </cfRule>
  </conditionalFormatting>
  <conditionalFormatting sqref="I4:M21">
    <cfRule type="notContainsBlanks" dxfId="0" priority="4">
      <formula>LEN(TRIM(I4))&gt;0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7.13"/>
    <col customWidth="1" min="3" max="3" width="25.25"/>
    <col customWidth="1" hidden="1" min="4" max="4" width="17.63"/>
    <col customWidth="1" min="5" max="5" width="15.63"/>
    <col customWidth="1" min="6" max="6" width="30.38"/>
    <col customWidth="1" min="7" max="7" width="19.25"/>
    <col customWidth="1" min="8" max="8" width="27.63"/>
    <col customWidth="1" min="9" max="9" width="20.0"/>
    <col customWidth="1" min="10" max="11" width="22.38"/>
    <col customWidth="1" min="12" max="12" width="19.13"/>
    <col customWidth="1" min="13" max="13" width="20.75"/>
  </cols>
  <sheetData>
    <row r="1">
      <c r="A1" s="38" t="s">
        <v>0</v>
      </c>
    </row>
    <row r="2">
      <c r="B2" s="39">
        <v>46054.0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</row>
    <row r="3">
      <c r="B3" s="42" t="s">
        <v>1</v>
      </c>
      <c r="C3" s="43" t="s">
        <v>2</v>
      </c>
      <c r="D3" s="44" t="s">
        <v>3</v>
      </c>
      <c r="E3" s="44" t="s">
        <v>4</v>
      </c>
      <c r="F3" s="45" t="s">
        <v>5</v>
      </c>
      <c r="G3" s="43" t="s">
        <v>6</v>
      </c>
      <c r="H3" s="43" t="s">
        <v>7</v>
      </c>
      <c r="I3" s="43" t="s">
        <v>8</v>
      </c>
      <c r="J3" s="43" t="s">
        <v>9</v>
      </c>
      <c r="K3" s="43" t="s">
        <v>10</v>
      </c>
      <c r="L3" s="46" t="s">
        <v>11</v>
      </c>
      <c r="M3" s="47" t="s">
        <v>12</v>
      </c>
    </row>
    <row r="4" ht="39.0" customHeight="1">
      <c r="B4" s="48" t="s">
        <v>13</v>
      </c>
      <c r="C4" s="49" t="s">
        <v>14</v>
      </c>
      <c r="D4" s="50" t="s">
        <v>15</v>
      </c>
      <c r="E4" s="50" t="s">
        <v>15</v>
      </c>
      <c r="F4" s="51" t="s">
        <v>16</v>
      </c>
      <c r="G4" s="51" t="s">
        <v>17</v>
      </c>
      <c r="H4" s="52">
        <v>91639.2</v>
      </c>
      <c r="I4" s="50" t="s">
        <v>18</v>
      </c>
      <c r="J4" s="53"/>
      <c r="K4" s="54"/>
      <c r="L4" s="54"/>
      <c r="M4" s="55"/>
    </row>
    <row r="5">
      <c r="B5" s="56" t="s">
        <v>19</v>
      </c>
      <c r="C5" s="57" t="s">
        <v>20</v>
      </c>
      <c r="D5" s="58" t="s">
        <v>21</v>
      </c>
      <c r="E5" s="58" t="s">
        <v>21</v>
      </c>
      <c r="F5" s="59" t="s">
        <v>22</v>
      </c>
      <c r="G5" s="59" t="s">
        <v>23</v>
      </c>
      <c r="H5" s="60">
        <v>89962.18</v>
      </c>
      <c r="I5" s="61" t="s">
        <v>24</v>
      </c>
      <c r="J5" s="62">
        <v>8178.38</v>
      </c>
      <c r="K5" s="63" t="s">
        <v>116</v>
      </c>
      <c r="L5" s="63" t="s">
        <v>52</v>
      </c>
      <c r="M5" s="64" t="s">
        <v>117</v>
      </c>
    </row>
    <row r="6">
      <c r="B6" s="56" t="s">
        <v>27</v>
      </c>
      <c r="C6" s="57" t="s">
        <v>28</v>
      </c>
      <c r="D6" s="61" t="s">
        <v>29</v>
      </c>
      <c r="E6" s="61" t="s">
        <v>30</v>
      </c>
      <c r="F6" s="59" t="s">
        <v>31</v>
      </c>
      <c r="G6" s="59" t="s">
        <v>32</v>
      </c>
      <c r="H6" s="60">
        <v>40169.99</v>
      </c>
      <c r="I6" s="61" t="s">
        <v>33</v>
      </c>
      <c r="J6" s="65"/>
      <c r="K6" s="63"/>
      <c r="L6" s="63"/>
      <c r="M6" s="64"/>
    </row>
    <row r="7">
      <c r="B7" s="56" t="s">
        <v>34</v>
      </c>
      <c r="C7" s="57" t="s">
        <v>35</v>
      </c>
      <c r="D7" s="61" t="s">
        <v>36</v>
      </c>
      <c r="E7" s="61" t="s">
        <v>36</v>
      </c>
      <c r="F7" s="59" t="s">
        <v>37</v>
      </c>
      <c r="G7" s="59" t="s">
        <v>38</v>
      </c>
      <c r="H7" s="60">
        <v>337528.95</v>
      </c>
      <c r="I7" s="61" t="s">
        <v>118</v>
      </c>
      <c r="J7" s="65"/>
      <c r="K7" s="63"/>
      <c r="L7" s="63"/>
      <c r="M7" s="64"/>
    </row>
    <row r="8">
      <c r="B8" s="56" t="s">
        <v>45</v>
      </c>
      <c r="C8" s="57" t="s">
        <v>46</v>
      </c>
      <c r="D8" s="61" t="s">
        <v>47</v>
      </c>
      <c r="E8" s="61" t="s">
        <v>48</v>
      </c>
      <c r="F8" s="59" t="s">
        <v>49</v>
      </c>
      <c r="G8" s="59" t="s">
        <v>50</v>
      </c>
      <c r="H8" s="60">
        <v>8633.48</v>
      </c>
      <c r="I8" s="61" t="s">
        <v>51</v>
      </c>
      <c r="J8" s="65">
        <v>8633.48</v>
      </c>
      <c r="K8" s="63" t="s">
        <v>116</v>
      </c>
      <c r="L8" s="63" t="s">
        <v>52</v>
      </c>
      <c r="M8" s="64" t="s">
        <v>117</v>
      </c>
    </row>
    <row r="9">
      <c r="B9" s="56" t="s">
        <v>53</v>
      </c>
      <c r="C9" s="66" t="s">
        <v>54</v>
      </c>
      <c r="D9" s="61" t="s">
        <v>55</v>
      </c>
      <c r="E9" s="61" t="s">
        <v>55</v>
      </c>
      <c r="F9" s="59" t="s">
        <v>56</v>
      </c>
      <c r="G9" s="59" t="s">
        <v>57</v>
      </c>
      <c r="H9" s="60">
        <v>307782.9</v>
      </c>
      <c r="I9" s="61" t="s">
        <v>58</v>
      </c>
      <c r="J9" s="65">
        <v>30778.29</v>
      </c>
      <c r="K9" s="63" t="s">
        <v>116</v>
      </c>
      <c r="L9" s="63" t="s">
        <v>52</v>
      </c>
      <c r="M9" s="67"/>
    </row>
    <row r="10">
      <c r="B10" s="68">
        <v>45658.0</v>
      </c>
      <c r="C10" s="66" t="s">
        <v>59</v>
      </c>
      <c r="D10" s="58" t="s">
        <v>60</v>
      </c>
      <c r="E10" s="58" t="s">
        <v>60</v>
      </c>
      <c r="F10" s="59" t="s">
        <v>61</v>
      </c>
      <c r="G10" s="59" t="s">
        <v>62</v>
      </c>
      <c r="H10" s="60">
        <v>2777.94</v>
      </c>
      <c r="I10" s="61" t="s">
        <v>63</v>
      </c>
      <c r="J10" s="65"/>
      <c r="K10" s="63"/>
      <c r="L10" s="63"/>
      <c r="M10" s="67"/>
    </row>
    <row r="11">
      <c r="B11" s="68">
        <v>45689.0</v>
      </c>
      <c r="C11" s="57" t="s">
        <v>64</v>
      </c>
      <c r="D11" s="61" t="s">
        <v>65</v>
      </c>
      <c r="E11" s="61" t="s">
        <v>65</v>
      </c>
      <c r="F11" s="59" t="s">
        <v>66</v>
      </c>
      <c r="G11" s="59" t="s">
        <v>67</v>
      </c>
      <c r="H11" s="60">
        <v>5700.0</v>
      </c>
      <c r="I11" s="61" t="s">
        <v>68</v>
      </c>
      <c r="J11" s="65"/>
      <c r="K11" s="63"/>
      <c r="L11" s="63"/>
      <c r="M11" s="67"/>
    </row>
    <row r="12">
      <c r="B12" s="69">
        <v>45717.0</v>
      </c>
      <c r="C12" s="57" t="s">
        <v>69</v>
      </c>
      <c r="D12" s="61" t="s">
        <v>70</v>
      </c>
      <c r="E12" s="61" t="s">
        <v>70</v>
      </c>
      <c r="F12" s="59" t="s">
        <v>71</v>
      </c>
      <c r="G12" s="59" t="s">
        <v>72</v>
      </c>
      <c r="H12" s="60">
        <v>1320.0</v>
      </c>
      <c r="I12" s="58" t="s">
        <v>73</v>
      </c>
      <c r="J12" s="65"/>
      <c r="K12" s="63"/>
      <c r="L12" s="63"/>
      <c r="M12" s="67"/>
    </row>
    <row r="13">
      <c r="B13" s="56" t="s">
        <v>74</v>
      </c>
      <c r="C13" s="57" t="s">
        <v>75</v>
      </c>
      <c r="D13" s="61" t="s">
        <v>76</v>
      </c>
      <c r="E13" s="61" t="s">
        <v>77</v>
      </c>
      <c r="F13" s="59" t="s">
        <v>78</v>
      </c>
      <c r="G13" s="59" t="s">
        <v>79</v>
      </c>
      <c r="H13" s="60">
        <v>3892.78</v>
      </c>
      <c r="I13" s="58" t="s">
        <v>80</v>
      </c>
      <c r="J13" s="62">
        <v>666.8</v>
      </c>
      <c r="K13" s="58" t="s">
        <v>116</v>
      </c>
      <c r="L13" s="63" t="s">
        <v>52</v>
      </c>
      <c r="M13" s="67"/>
    </row>
    <row r="14">
      <c r="B14" s="56" t="s">
        <v>82</v>
      </c>
      <c r="C14" s="57" t="s">
        <v>83</v>
      </c>
      <c r="D14" s="61"/>
      <c r="E14" s="61" t="s">
        <v>84</v>
      </c>
      <c r="F14" s="59" t="s">
        <v>97</v>
      </c>
      <c r="G14" s="59" t="s">
        <v>86</v>
      </c>
      <c r="H14" s="60">
        <v>64559.71</v>
      </c>
      <c r="I14" s="58" t="s">
        <v>87</v>
      </c>
      <c r="J14" s="70"/>
      <c r="K14" s="71"/>
      <c r="L14" s="71"/>
      <c r="M14" s="67"/>
    </row>
    <row r="15" ht="30.75" customHeight="1">
      <c r="B15" s="56" t="s">
        <v>89</v>
      </c>
      <c r="C15" s="57" t="s">
        <v>90</v>
      </c>
      <c r="D15" s="61" t="s">
        <v>91</v>
      </c>
      <c r="E15" s="61" t="s">
        <v>91</v>
      </c>
      <c r="F15" s="59" t="s">
        <v>92</v>
      </c>
      <c r="G15" s="59" t="s">
        <v>93</v>
      </c>
      <c r="H15" s="60">
        <v>12168.18</v>
      </c>
      <c r="I15" s="58" t="s">
        <v>119</v>
      </c>
      <c r="J15" s="62">
        <v>12168.18</v>
      </c>
      <c r="K15" s="63" t="s">
        <v>25</v>
      </c>
      <c r="L15" s="63" t="s">
        <v>52</v>
      </c>
      <c r="M15" s="64"/>
    </row>
    <row r="16" ht="30.75" customHeight="1">
      <c r="B16" s="68">
        <v>45901.0</v>
      </c>
      <c r="C16" s="57" t="s">
        <v>95</v>
      </c>
      <c r="D16" s="61" t="s">
        <v>96</v>
      </c>
      <c r="E16" s="61" t="s">
        <v>96</v>
      </c>
      <c r="F16" s="59" t="s">
        <v>97</v>
      </c>
      <c r="G16" s="59" t="s">
        <v>98</v>
      </c>
      <c r="H16" s="60">
        <v>23450.0</v>
      </c>
      <c r="I16" s="58" t="s">
        <v>99</v>
      </c>
      <c r="J16" s="65"/>
      <c r="K16" s="63"/>
      <c r="L16" s="63"/>
      <c r="M16" s="64"/>
    </row>
    <row r="17">
      <c r="B17" s="56" t="s">
        <v>100</v>
      </c>
      <c r="C17" s="57" t="s">
        <v>101</v>
      </c>
      <c r="D17" s="61" t="s">
        <v>102</v>
      </c>
      <c r="E17" s="61" t="s">
        <v>103</v>
      </c>
      <c r="F17" s="59" t="s">
        <v>104</v>
      </c>
      <c r="G17" s="59" t="s">
        <v>105</v>
      </c>
      <c r="H17" s="60">
        <v>73.1</v>
      </c>
      <c r="I17" s="61" t="s">
        <v>106</v>
      </c>
      <c r="J17" s="62">
        <v>5.1</v>
      </c>
      <c r="K17" s="58" t="s">
        <v>25</v>
      </c>
      <c r="L17" s="63" t="s">
        <v>52</v>
      </c>
      <c r="M17" s="67"/>
    </row>
    <row r="18">
      <c r="B18" s="68">
        <v>45839.0</v>
      </c>
      <c r="C18" s="57" t="s">
        <v>120</v>
      </c>
      <c r="D18" s="61" t="s">
        <v>121</v>
      </c>
      <c r="E18" s="61" t="s">
        <v>121</v>
      </c>
      <c r="F18" s="59" t="s">
        <v>122</v>
      </c>
      <c r="G18" s="59"/>
      <c r="H18" s="60">
        <v>236770.0</v>
      </c>
      <c r="I18" s="58" t="s">
        <v>123</v>
      </c>
      <c r="J18" s="62">
        <v>236770.0</v>
      </c>
      <c r="K18" s="63" t="s">
        <v>25</v>
      </c>
      <c r="L18" s="63" t="s">
        <v>52</v>
      </c>
      <c r="M18" s="64" t="s">
        <v>124</v>
      </c>
    </row>
    <row r="19">
      <c r="B19" s="72" t="s">
        <v>107</v>
      </c>
      <c r="C19" s="73" t="s">
        <v>108</v>
      </c>
      <c r="D19" s="74" t="s">
        <v>107</v>
      </c>
      <c r="E19" s="74" t="s">
        <v>109</v>
      </c>
      <c r="F19" s="75" t="s">
        <v>110</v>
      </c>
      <c r="G19" s="75" t="s">
        <v>111</v>
      </c>
      <c r="H19" s="76">
        <v>10505.97</v>
      </c>
      <c r="I19" s="63" t="s">
        <v>125</v>
      </c>
      <c r="J19" s="65"/>
      <c r="K19" s="63"/>
      <c r="L19" s="63"/>
      <c r="M19" s="67"/>
    </row>
    <row r="20">
      <c r="B20" s="72" t="s">
        <v>112</v>
      </c>
      <c r="C20" s="73" t="s">
        <v>113</v>
      </c>
      <c r="D20" s="74" t="s">
        <v>112</v>
      </c>
      <c r="E20" s="74" t="s">
        <v>114</v>
      </c>
      <c r="F20" s="75" t="s">
        <v>115</v>
      </c>
      <c r="G20" s="75" t="s">
        <v>111</v>
      </c>
      <c r="H20" s="76"/>
      <c r="I20" s="63"/>
      <c r="J20" s="65"/>
      <c r="K20" s="63"/>
      <c r="L20" s="63"/>
      <c r="M20" s="67"/>
      <c r="N20" s="29"/>
      <c r="O20" s="29"/>
    </row>
    <row r="21">
      <c r="B21" s="56"/>
      <c r="C21" s="57" t="s">
        <v>126</v>
      </c>
      <c r="D21" s="77" t="s">
        <v>127</v>
      </c>
      <c r="E21" s="78" t="s">
        <v>127</v>
      </c>
      <c r="F21" s="79" t="s">
        <v>128</v>
      </c>
      <c r="G21" s="79"/>
      <c r="H21" s="80">
        <v>320200.0</v>
      </c>
      <c r="I21" s="81" t="s">
        <v>129</v>
      </c>
      <c r="J21" s="82">
        <v>320200.0</v>
      </c>
      <c r="K21" s="83" t="s">
        <v>130</v>
      </c>
      <c r="L21" s="84" t="s">
        <v>131</v>
      </c>
      <c r="M21" s="85" t="s">
        <v>131</v>
      </c>
      <c r="N21" s="29"/>
      <c r="O21" s="29"/>
    </row>
    <row r="22">
      <c r="B22" s="86">
        <v>45931.0</v>
      </c>
      <c r="C22" s="87" t="s">
        <v>132</v>
      </c>
      <c r="D22" s="88" t="s">
        <v>133</v>
      </c>
      <c r="E22" s="89" t="s">
        <v>133</v>
      </c>
      <c r="F22" s="90" t="s">
        <v>134</v>
      </c>
      <c r="G22" s="91"/>
      <c r="H22" s="92">
        <v>1600000.0</v>
      </c>
      <c r="I22" s="93" t="s">
        <v>135</v>
      </c>
      <c r="J22" s="94"/>
      <c r="K22" s="95"/>
      <c r="L22" s="96"/>
      <c r="M22" s="97"/>
      <c r="N22" s="29"/>
      <c r="O22" s="29"/>
    </row>
    <row r="23" ht="48.0" customHeight="1">
      <c r="B23" s="98" t="s">
        <v>136</v>
      </c>
      <c r="C23" s="99" t="s">
        <v>137</v>
      </c>
      <c r="D23" s="89" t="s">
        <v>138</v>
      </c>
      <c r="E23" s="89" t="s">
        <v>138</v>
      </c>
      <c r="F23" s="90" t="s">
        <v>139</v>
      </c>
      <c r="G23" s="91"/>
      <c r="H23" s="100">
        <v>300641.04</v>
      </c>
      <c r="I23" s="93" t="s">
        <v>140</v>
      </c>
      <c r="J23" s="94"/>
      <c r="K23" s="101"/>
      <c r="L23" s="102"/>
      <c r="M23" s="103"/>
      <c r="N23" s="29"/>
      <c r="O23" s="29"/>
    </row>
    <row r="24" ht="39.0" customHeight="1">
      <c r="B24" s="104"/>
      <c r="C24" s="105" t="s">
        <v>141</v>
      </c>
      <c r="D24" s="89" t="s">
        <v>142</v>
      </c>
      <c r="E24" s="89" t="s">
        <v>142</v>
      </c>
      <c r="F24" s="106" t="s">
        <v>143</v>
      </c>
      <c r="G24" s="107"/>
      <c r="H24" s="100">
        <v>20560.0</v>
      </c>
      <c r="I24" s="93" t="s">
        <v>144</v>
      </c>
      <c r="J24" s="94"/>
      <c r="K24" s="101"/>
      <c r="L24" s="101"/>
      <c r="M24" s="108"/>
      <c r="N24" s="29"/>
      <c r="O24" s="29"/>
    </row>
    <row r="25" ht="26.25" customHeight="1">
      <c r="B25" s="98" t="s">
        <v>89</v>
      </c>
      <c r="C25" s="109" t="s">
        <v>145</v>
      </c>
      <c r="D25" s="89" t="s">
        <v>146</v>
      </c>
      <c r="E25" s="89" t="s">
        <v>146</v>
      </c>
      <c r="F25" s="110"/>
      <c r="G25" s="107"/>
      <c r="H25" s="111">
        <v>1730.25</v>
      </c>
      <c r="I25" s="101"/>
      <c r="J25" s="101"/>
      <c r="K25" s="101"/>
      <c r="L25" s="101"/>
      <c r="M25" s="108"/>
    </row>
    <row r="26">
      <c r="B26" s="112" t="s">
        <v>89</v>
      </c>
      <c r="C26" s="113" t="s">
        <v>147</v>
      </c>
      <c r="D26" s="114" t="s">
        <v>148</v>
      </c>
      <c r="E26" s="114" t="s">
        <v>148</v>
      </c>
      <c r="F26" s="115" t="s">
        <v>149</v>
      </c>
      <c r="G26" s="116"/>
      <c r="H26" s="117">
        <v>1331.31</v>
      </c>
      <c r="I26" s="118"/>
      <c r="J26" s="118"/>
      <c r="K26" s="118"/>
      <c r="L26" s="118"/>
      <c r="M26" s="119"/>
    </row>
  </sheetData>
  <mergeCells count="1">
    <mergeCell ref="B2:M2"/>
  </mergeCells>
  <conditionalFormatting sqref="M4:M24">
    <cfRule type="containsText" dxfId="1" priority="1" operator="containsText" text="não">
      <formula>NOT(ISERROR(SEARCH(("não"),(M4))))</formula>
    </cfRule>
  </conditionalFormatting>
  <conditionalFormatting sqref="L4:L20">
    <cfRule type="containsText" dxfId="1" priority="2" operator="containsText" text="não">
      <formula>NOT(ISERROR(SEARCH(("não"),(L4))))</formula>
    </cfRule>
  </conditionalFormatting>
  <conditionalFormatting sqref="I4:M24">
    <cfRule type="notContainsBlanks" dxfId="2" priority="3">
      <formula>LEN(TRIM(I4))&gt;0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7.13"/>
    <col customWidth="1" min="3" max="3" width="27.75"/>
    <col customWidth="1" hidden="1" min="4" max="4" width="17.63"/>
    <col customWidth="1" min="5" max="5" width="15.63"/>
    <col customWidth="1" min="6" max="6" width="30.38"/>
    <col customWidth="1" min="7" max="7" width="19.25"/>
    <col customWidth="1" min="8" max="8" width="27.63"/>
    <col customWidth="1" min="9" max="9" width="20.0"/>
    <col customWidth="1" min="10" max="11" width="22.38"/>
    <col customWidth="1" min="12" max="12" width="19.13"/>
    <col customWidth="1" min="13" max="13" width="20.75"/>
  </cols>
  <sheetData>
    <row r="1">
      <c r="A1" s="38" t="s">
        <v>0</v>
      </c>
    </row>
    <row r="2">
      <c r="B2" s="120">
        <v>46082.0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</row>
    <row r="3">
      <c r="B3" s="121" t="s">
        <v>1</v>
      </c>
      <c r="C3" s="122" t="s">
        <v>2</v>
      </c>
      <c r="D3" s="123" t="s">
        <v>3</v>
      </c>
      <c r="E3" s="123" t="s">
        <v>4</v>
      </c>
      <c r="F3" s="124" t="s">
        <v>5</v>
      </c>
      <c r="G3" s="122" t="s">
        <v>6</v>
      </c>
      <c r="H3" s="122" t="s">
        <v>7</v>
      </c>
      <c r="I3" s="122" t="s">
        <v>8</v>
      </c>
      <c r="J3" s="122" t="s">
        <v>9</v>
      </c>
      <c r="K3" s="122" t="s">
        <v>10</v>
      </c>
      <c r="L3" s="125" t="s">
        <v>11</v>
      </c>
      <c r="M3" s="126" t="s">
        <v>12</v>
      </c>
    </row>
    <row r="4" ht="39.0" customHeight="1">
      <c r="B4" s="127" t="s">
        <v>13</v>
      </c>
      <c r="C4" s="128" t="s">
        <v>14</v>
      </c>
      <c r="D4" s="129" t="s">
        <v>15</v>
      </c>
      <c r="E4" s="129" t="s">
        <v>15</v>
      </c>
      <c r="F4" s="130" t="s">
        <v>16</v>
      </c>
      <c r="G4" s="130" t="s">
        <v>17</v>
      </c>
      <c r="H4" s="131">
        <v>91639.2</v>
      </c>
      <c r="I4" s="132" t="s">
        <v>18</v>
      </c>
      <c r="J4" s="133"/>
      <c r="K4" s="134"/>
      <c r="L4" s="134"/>
      <c r="M4" s="135"/>
    </row>
    <row r="5">
      <c r="B5" s="136" t="s">
        <v>19</v>
      </c>
      <c r="C5" s="137" t="s">
        <v>20</v>
      </c>
      <c r="D5" s="138" t="s">
        <v>21</v>
      </c>
      <c r="E5" s="138" t="s">
        <v>21</v>
      </c>
      <c r="F5" s="139" t="s">
        <v>22</v>
      </c>
      <c r="G5" s="139" t="s">
        <v>23</v>
      </c>
      <c r="H5" s="140">
        <v>89962.18</v>
      </c>
      <c r="I5" s="141" t="s">
        <v>24</v>
      </c>
      <c r="J5" s="142">
        <v>8178.38</v>
      </c>
      <c r="K5" s="138" t="s">
        <v>116</v>
      </c>
      <c r="L5" s="138"/>
      <c r="M5" s="143"/>
    </row>
    <row r="6">
      <c r="B6" s="136" t="s">
        <v>27</v>
      </c>
      <c r="C6" s="137" t="s">
        <v>28</v>
      </c>
      <c r="D6" s="144" t="s">
        <v>29</v>
      </c>
      <c r="E6" s="144" t="s">
        <v>30</v>
      </c>
      <c r="F6" s="139" t="s">
        <v>31</v>
      </c>
      <c r="G6" s="139" t="s">
        <v>32</v>
      </c>
      <c r="H6" s="140">
        <v>40169.99</v>
      </c>
      <c r="I6" s="141" t="s">
        <v>33</v>
      </c>
      <c r="J6" s="145"/>
      <c r="K6" s="138"/>
      <c r="L6" s="138"/>
      <c r="M6" s="143"/>
    </row>
    <row r="7">
      <c r="B7" s="136" t="s">
        <v>34</v>
      </c>
      <c r="C7" s="137" t="s">
        <v>35</v>
      </c>
      <c r="D7" s="144" t="s">
        <v>36</v>
      </c>
      <c r="E7" s="144" t="s">
        <v>36</v>
      </c>
      <c r="F7" s="139" t="s">
        <v>37</v>
      </c>
      <c r="G7" s="139" t="s">
        <v>38</v>
      </c>
      <c r="H7" s="140">
        <v>337528.95</v>
      </c>
      <c r="I7" s="141" t="s">
        <v>118</v>
      </c>
      <c r="J7" s="145"/>
      <c r="K7" s="138"/>
      <c r="L7" s="138"/>
      <c r="M7" s="143"/>
    </row>
    <row r="8">
      <c r="B8" s="136" t="s">
        <v>45</v>
      </c>
      <c r="C8" s="137" t="s">
        <v>46</v>
      </c>
      <c r="D8" s="144" t="s">
        <v>47</v>
      </c>
      <c r="E8" s="144" t="s">
        <v>48</v>
      </c>
      <c r="F8" s="139" t="s">
        <v>49</v>
      </c>
      <c r="G8" s="139" t="s">
        <v>50</v>
      </c>
      <c r="H8" s="140">
        <v>8633.48</v>
      </c>
      <c r="I8" s="141" t="s">
        <v>51</v>
      </c>
      <c r="J8" s="145">
        <v>8633.48</v>
      </c>
      <c r="K8" s="138" t="s">
        <v>116</v>
      </c>
      <c r="L8" s="138"/>
      <c r="M8" s="143"/>
    </row>
    <row r="9">
      <c r="B9" s="136" t="s">
        <v>53</v>
      </c>
      <c r="C9" s="146" t="s">
        <v>54</v>
      </c>
      <c r="D9" s="144" t="s">
        <v>55</v>
      </c>
      <c r="E9" s="144" t="s">
        <v>55</v>
      </c>
      <c r="F9" s="139" t="s">
        <v>56</v>
      </c>
      <c r="G9" s="139" t="s">
        <v>57</v>
      </c>
      <c r="H9" s="140">
        <v>307782.9</v>
      </c>
      <c r="I9" s="141" t="s">
        <v>58</v>
      </c>
      <c r="J9" s="145"/>
      <c r="K9" s="138"/>
      <c r="L9" s="138"/>
      <c r="M9" s="147"/>
    </row>
    <row r="10">
      <c r="B10" s="148">
        <v>45658.0</v>
      </c>
      <c r="C10" s="146" t="s">
        <v>59</v>
      </c>
      <c r="D10" s="138" t="s">
        <v>60</v>
      </c>
      <c r="E10" s="138" t="s">
        <v>60</v>
      </c>
      <c r="F10" s="139" t="s">
        <v>61</v>
      </c>
      <c r="G10" s="139" t="s">
        <v>62</v>
      </c>
      <c r="H10" s="140">
        <v>2777.94</v>
      </c>
      <c r="I10" s="141" t="s">
        <v>63</v>
      </c>
      <c r="J10" s="145"/>
      <c r="K10" s="138"/>
      <c r="L10" s="138"/>
      <c r="M10" s="147"/>
    </row>
    <row r="11">
      <c r="B11" s="148">
        <v>45689.0</v>
      </c>
      <c r="C11" s="137" t="s">
        <v>64</v>
      </c>
      <c r="D11" s="144" t="s">
        <v>65</v>
      </c>
      <c r="E11" s="144" t="s">
        <v>65</v>
      </c>
      <c r="F11" s="139" t="s">
        <v>66</v>
      </c>
      <c r="G11" s="139" t="s">
        <v>67</v>
      </c>
      <c r="H11" s="140">
        <v>5700.0</v>
      </c>
      <c r="I11" s="141" t="s">
        <v>68</v>
      </c>
      <c r="J11" s="145"/>
      <c r="K11" s="138"/>
      <c r="L11" s="138"/>
      <c r="M11" s="147"/>
    </row>
    <row r="12">
      <c r="B12" s="149">
        <v>45717.0</v>
      </c>
      <c r="C12" s="137" t="s">
        <v>69</v>
      </c>
      <c r="D12" s="144" t="s">
        <v>70</v>
      </c>
      <c r="E12" s="144" t="s">
        <v>70</v>
      </c>
      <c r="F12" s="139" t="s">
        <v>71</v>
      </c>
      <c r="G12" s="139" t="s">
        <v>72</v>
      </c>
      <c r="H12" s="140">
        <v>1320.0</v>
      </c>
      <c r="I12" s="150" t="s">
        <v>73</v>
      </c>
      <c r="J12" s="145"/>
      <c r="K12" s="138"/>
      <c r="L12" s="138"/>
      <c r="M12" s="147"/>
    </row>
    <row r="13">
      <c r="B13" s="136" t="s">
        <v>74</v>
      </c>
      <c r="C13" s="137" t="s">
        <v>75</v>
      </c>
      <c r="D13" s="144" t="s">
        <v>76</v>
      </c>
      <c r="E13" s="144" t="s">
        <v>77</v>
      </c>
      <c r="F13" s="139" t="s">
        <v>78</v>
      </c>
      <c r="G13" s="139" t="s">
        <v>79</v>
      </c>
      <c r="H13" s="140">
        <v>3892.78</v>
      </c>
      <c r="I13" s="150" t="s">
        <v>80</v>
      </c>
      <c r="J13" s="142">
        <v>666.8</v>
      </c>
      <c r="K13" s="150" t="s">
        <v>116</v>
      </c>
      <c r="L13" s="138"/>
      <c r="M13" s="147"/>
    </row>
    <row r="14">
      <c r="B14" s="136" t="s">
        <v>82</v>
      </c>
      <c r="C14" s="137" t="s">
        <v>83</v>
      </c>
      <c r="D14" s="144" t="s">
        <v>84</v>
      </c>
      <c r="E14" s="144" t="s">
        <v>84</v>
      </c>
      <c r="F14" s="139" t="s">
        <v>97</v>
      </c>
      <c r="G14" s="139" t="s">
        <v>86</v>
      </c>
      <c r="H14" s="140">
        <v>64559.71</v>
      </c>
      <c r="I14" s="138" t="s">
        <v>87</v>
      </c>
      <c r="J14" s="151"/>
      <c r="K14" s="152"/>
      <c r="L14" s="152"/>
      <c r="M14" s="147"/>
    </row>
    <row r="15" ht="30.75" customHeight="1">
      <c r="B15" s="136" t="s">
        <v>89</v>
      </c>
      <c r="C15" s="137" t="s">
        <v>90</v>
      </c>
      <c r="D15" s="144" t="s">
        <v>91</v>
      </c>
      <c r="E15" s="144" t="s">
        <v>91</v>
      </c>
      <c r="F15" s="139" t="s">
        <v>92</v>
      </c>
      <c r="G15" s="139" t="s">
        <v>93</v>
      </c>
      <c r="H15" s="140">
        <v>12168.18</v>
      </c>
      <c r="I15" s="150" t="s">
        <v>119</v>
      </c>
      <c r="J15" s="142">
        <v>12168.18</v>
      </c>
      <c r="K15" s="138" t="s">
        <v>25</v>
      </c>
      <c r="L15" s="138"/>
      <c r="M15" s="143"/>
    </row>
    <row r="16" ht="30.75" customHeight="1">
      <c r="B16" s="148">
        <v>45901.0</v>
      </c>
      <c r="C16" s="137" t="s">
        <v>95</v>
      </c>
      <c r="D16" s="144" t="s">
        <v>96</v>
      </c>
      <c r="E16" s="144" t="s">
        <v>96</v>
      </c>
      <c r="F16" s="139" t="s">
        <v>97</v>
      </c>
      <c r="G16" s="139" t="s">
        <v>98</v>
      </c>
      <c r="H16" s="140">
        <v>23450.0</v>
      </c>
      <c r="I16" s="138" t="s">
        <v>99</v>
      </c>
      <c r="J16" s="145"/>
      <c r="K16" s="138"/>
      <c r="L16" s="138"/>
      <c r="M16" s="143"/>
    </row>
    <row r="17">
      <c r="B17" s="136" t="s">
        <v>100</v>
      </c>
      <c r="C17" s="137" t="s">
        <v>101</v>
      </c>
      <c r="D17" s="144" t="s">
        <v>102</v>
      </c>
      <c r="E17" s="144" t="s">
        <v>103</v>
      </c>
      <c r="F17" s="139" t="s">
        <v>104</v>
      </c>
      <c r="G17" s="139" t="s">
        <v>105</v>
      </c>
      <c r="H17" s="140">
        <v>73.1</v>
      </c>
      <c r="I17" s="141" t="s">
        <v>106</v>
      </c>
      <c r="J17" s="142">
        <v>5.1</v>
      </c>
      <c r="K17" s="150" t="s">
        <v>25</v>
      </c>
      <c r="L17" s="138"/>
      <c r="M17" s="147"/>
    </row>
    <row r="18">
      <c r="B18" s="136" t="s">
        <v>107</v>
      </c>
      <c r="C18" s="137" t="s">
        <v>108</v>
      </c>
      <c r="D18" s="144" t="s">
        <v>107</v>
      </c>
      <c r="E18" s="144" t="s">
        <v>109</v>
      </c>
      <c r="F18" s="139" t="s">
        <v>110</v>
      </c>
      <c r="G18" s="139" t="s">
        <v>111</v>
      </c>
      <c r="H18" s="140">
        <v>10505.97</v>
      </c>
      <c r="I18" s="138" t="s">
        <v>125</v>
      </c>
      <c r="J18" s="145"/>
      <c r="K18" s="138"/>
      <c r="L18" s="138"/>
      <c r="M18" s="147"/>
    </row>
    <row r="19">
      <c r="B19" s="136" t="s">
        <v>112</v>
      </c>
      <c r="C19" s="137" t="s">
        <v>113</v>
      </c>
      <c r="D19" s="144" t="s">
        <v>112</v>
      </c>
      <c r="E19" s="144" t="s">
        <v>114</v>
      </c>
      <c r="F19" s="139" t="s">
        <v>115</v>
      </c>
      <c r="G19" s="139" t="s">
        <v>111</v>
      </c>
      <c r="H19" s="140"/>
      <c r="I19" s="138"/>
      <c r="J19" s="145"/>
      <c r="K19" s="138"/>
      <c r="L19" s="138"/>
      <c r="M19" s="147"/>
      <c r="N19" s="29"/>
      <c r="O19" s="29"/>
    </row>
    <row r="20">
      <c r="B20" s="153"/>
      <c r="C20" s="154" t="s">
        <v>150</v>
      </c>
      <c r="D20" s="155"/>
      <c r="E20" s="155" t="s">
        <v>151</v>
      </c>
      <c r="F20" s="156" t="s">
        <v>152</v>
      </c>
      <c r="G20" s="156"/>
      <c r="H20" s="157">
        <v>32730.0</v>
      </c>
      <c r="I20" s="158" t="s">
        <v>153</v>
      </c>
      <c r="J20" s="145"/>
      <c r="K20" s="159"/>
      <c r="L20" s="159"/>
      <c r="M20" s="160"/>
      <c r="N20" s="29"/>
      <c r="O20" s="29"/>
    </row>
    <row r="21">
      <c r="B21" s="153">
        <v>46054.0</v>
      </c>
      <c r="C21" s="154" t="s">
        <v>154</v>
      </c>
      <c r="D21" s="155" t="s">
        <v>155</v>
      </c>
      <c r="E21" s="155" t="s">
        <v>155</v>
      </c>
      <c r="F21" s="156" t="s">
        <v>156</v>
      </c>
      <c r="G21" s="156"/>
      <c r="H21" s="157">
        <v>3128840.0</v>
      </c>
      <c r="I21" s="158" t="s">
        <v>157</v>
      </c>
      <c r="J21" s="161"/>
      <c r="K21" s="159"/>
      <c r="L21" s="159"/>
      <c r="M21" s="160"/>
      <c r="N21" s="29"/>
      <c r="O21" s="29"/>
    </row>
    <row r="22">
      <c r="B22" s="149">
        <v>45931.0</v>
      </c>
      <c r="C22" s="146" t="s">
        <v>132</v>
      </c>
      <c r="D22" s="138" t="s">
        <v>133</v>
      </c>
      <c r="E22" s="138" t="s">
        <v>133</v>
      </c>
      <c r="F22" s="139" t="s">
        <v>134</v>
      </c>
      <c r="G22" s="162"/>
      <c r="H22" s="163">
        <v>1600000.0</v>
      </c>
      <c r="I22" s="150" t="s">
        <v>135</v>
      </c>
      <c r="J22" s="164"/>
      <c r="K22" s="165"/>
      <c r="L22" s="165"/>
      <c r="M22" s="166"/>
      <c r="N22" s="29"/>
      <c r="O22" s="29"/>
    </row>
    <row r="23" ht="48.0" customHeight="1">
      <c r="B23" s="136" t="s">
        <v>136</v>
      </c>
      <c r="C23" s="146" t="s">
        <v>137</v>
      </c>
      <c r="D23" s="138" t="s">
        <v>138</v>
      </c>
      <c r="E23" s="138" t="s">
        <v>138</v>
      </c>
      <c r="F23" s="139" t="s">
        <v>139</v>
      </c>
      <c r="G23" s="162"/>
      <c r="H23" s="167">
        <v>300641.04</v>
      </c>
      <c r="I23" s="150" t="s">
        <v>140</v>
      </c>
      <c r="J23" s="164"/>
      <c r="K23" s="165"/>
      <c r="L23" s="165"/>
      <c r="M23" s="166"/>
      <c r="N23" s="29"/>
      <c r="O23" s="29"/>
    </row>
    <row r="24" ht="39.0" customHeight="1">
      <c r="B24" s="136"/>
      <c r="C24" s="137" t="s">
        <v>141</v>
      </c>
      <c r="D24" s="138" t="s">
        <v>142</v>
      </c>
      <c r="E24" s="138" t="s">
        <v>142</v>
      </c>
      <c r="F24" s="168" t="s">
        <v>143</v>
      </c>
      <c r="G24" s="169"/>
      <c r="H24" s="167">
        <v>20560.0</v>
      </c>
      <c r="I24" s="150" t="s">
        <v>144</v>
      </c>
      <c r="J24" s="164"/>
      <c r="K24" s="165"/>
      <c r="L24" s="165"/>
      <c r="M24" s="166"/>
      <c r="N24" s="29"/>
      <c r="O24" s="29"/>
    </row>
    <row r="25" ht="26.25" customHeight="1">
      <c r="B25" s="136" t="s">
        <v>89</v>
      </c>
      <c r="C25" s="146" t="s">
        <v>145</v>
      </c>
      <c r="D25" s="138" t="s">
        <v>146</v>
      </c>
      <c r="E25" s="138" t="s">
        <v>146</v>
      </c>
      <c r="F25" s="170"/>
      <c r="G25" s="169"/>
      <c r="H25" s="167">
        <v>1730.25</v>
      </c>
      <c r="I25" s="165"/>
      <c r="J25" s="165"/>
      <c r="K25" s="165"/>
      <c r="L25" s="165"/>
      <c r="M25" s="166"/>
    </row>
    <row r="26">
      <c r="B26" s="171" t="s">
        <v>89</v>
      </c>
      <c r="C26" s="172" t="s">
        <v>147</v>
      </c>
      <c r="D26" s="173" t="s">
        <v>148</v>
      </c>
      <c r="E26" s="173" t="s">
        <v>148</v>
      </c>
      <c r="F26" s="174" t="s">
        <v>149</v>
      </c>
      <c r="G26" s="175"/>
      <c r="H26" s="176">
        <v>1331.31</v>
      </c>
      <c r="I26" s="177"/>
      <c r="J26" s="177"/>
      <c r="K26" s="177"/>
      <c r="L26" s="177"/>
      <c r="M26" s="178"/>
    </row>
    <row r="27">
      <c r="B27" s="136"/>
      <c r="C27" s="137" t="s">
        <v>108</v>
      </c>
      <c r="D27" s="144" t="s">
        <v>107</v>
      </c>
      <c r="E27" s="144" t="s">
        <v>158</v>
      </c>
      <c r="F27" s="139" t="s">
        <v>110</v>
      </c>
      <c r="G27" s="139"/>
      <c r="H27" s="140"/>
      <c r="I27" s="138"/>
      <c r="J27" s="145"/>
      <c r="K27" s="138"/>
      <c r="L27" s="179"/>
      <c r="M27" s="179"/>
    </row>
    <row r="28">
      <c r="B28" s="136"/>
      <c r="C28" s="137" t="s">
        <v>159</v>
      </c>
      <c r="D28" s="144" t="s">
        <v>112</v>
      </c>
      <c r="E28" s="144" t="s">
        <v>160</v>
      </c>
      <c r="F28" s="139" t="s">
        <v>115</v>
      </c>
      <c r="G28" s="139"/>
      <c r="H28" s="140"/>
      <c r="I28" s="138"/>
      <c r="J28" s="145"/>
      <c r="K28" s="138"/>
      <c r="L28" s="179"/>
      <c r="M28" s="179"/>
    </row>
    <row r="29">
      <c r="B29" s="180"/>
      <c r="C29" s="181"/>
      <c r="D29" s="182"/>
      <c r="E29" s="182"/>
      <c r="F29" s="183"/>
      <c r="G29" s="184"/>
      <c r="H29" s="185"/>
      <c r="I29" s="179"/>
      <c r="J29" s="179"/>
      <c r="K29" s="179"/>
      <c r="L29" s="179"/>
      <c r="M29" s="179"/>
    </row>
    <row r="30">
      <c r="B30" s="180"/>
      <c r="C30" s="181"/>
      <c r="D30" s="182"/>
      <c r="E30" s="182"/>
      <c r="F30" s="183"/>
      <c r="G30" s="184"/>
      <c r="H30" s="185"/>
      <c r="I30" s="179"/>
      <c r="J30" s="179"/>
      <c r="K30" s="179"/>
      <c r="L30" s="179"/>
      <c r="M30" s="179"/>
    </row>
  </sheetData>
  <mergeCells count="1">
    <mergeCell ref="B2:M2"/>
  </mergeCells>
  <conditionalFormatting sqref="M4:M24">
    <cfRule type="containsText" dxfId="1" priority="1" operator="containsText" text="não">
      <formula>NOT(ISERROR(SEARCH(("não"),(M4))))</formula>
    </cfRule>
  </conditionalFormatting>
  <conditionalFormatting sqref="L4:L19">
    <cfRule type="containsText" dxfId="1" priority="2" operator="containsText" text="não">
      <formula>NOT(ISERROR(SEARCH(("não"),(L4))))</formula>
    </cfRule>
  </conditionalFormatting>
  <conditionalFormatting sqref="I4:M24 I27:K28">
    <cfRule type="notContainsBlanks" dxfId="3" priority="3">
      <formula>LEN(TRIM(I4))&gt;0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7.13"/>
    <col customWidth="1" min="3" max="3" width="30.25"/>
    <col customWidth="1" hidden="1" min="4" max="4" width="17.63"/>
    <col customWidth="1" min="5" max="5" width="15.63"/>
    <col customWidth="1" min="6" max="6" width="34.88"/>
    <col customWidth="1" min="7" max="7" width="19.25"/>
    <col customWidth="1" min="8" max="8" width="27.63"/>
    <col customWidth="1" min="9" max="9" width="20.0"/>
    <col customWidth="1" min="10" max="10" width="23.5"/>
    <col customWidth="1" min="11" max="11" width="22.38"/>
    <col customWidth="1" min="12" max="12" width="19.13"/>
    <col customWidth="1" min="13" max="13" width="20.75"/>
  </cols>
  <sheetData>
    <row r="1" ht="19.5" customHeight="1">
      <c r="A1" s="38" t="s">
        <v>0</v>
      </c>
    </row>
    <row r="2">
      <c r="B2" s="186" t="s">
        <v>161</v>
      </c>
      <c r="C2" s="187"/>
      <c r="D2" s="187"/>
      <c r="E2" s="187"/>
      <c r="F2" s="187"/>
      <c r="G2" s="187"/>
      <c r="H2" s="187"/>
      <c r="I2" s="187"/>
      <c r="J2" s="188"/>
    </row>
    <row r="3">
      <c r="B3" s="189" t="s">
        <v>1</v>
      </c>
      <c r="C3" s="189" t="s">
        <v>2</v>
      </c>
      <c r="D3" s="190" t="s">
        <v>3</v>
      </c>
      <c r="E3" s="190" t="s">
        <v>4</v>
      </c>
      <c r="F3" s="191" t="s">
        <v>5</v>
      </c>
      <c r="G3" s="189" t="s">
        <v>6</v>
      </c>
      <c r="H3" s="189" t="s">
        <v>162</v>
      </c>
      <c r="I3" s="189" t="s">
        <v>9</v>
      </c>
      <c r="J3" s="189" t="s">
        <v>163</v>
      </c>
    </row>
    <row r="4" ht="39.0" customHeight="1">
      <c r="B4" s="192" t="s">
        <v>13</v>
      </c>
      <c r="C4" s="193" t="s">
        <v>14</v>
      </c>
      <c r="D4" s="194" t="s">
        <v>15</v>
      </c>
      <c r="E4" s="194" t="s">
        <v>15</v>
      </c>
      <c r="F4" s="195" t="s">
        <v>16</v>
      </c>
      <c r="G4" s="195" t="s">
        <v>164</v>
      </c>
      <c r="H4" s="196">
        <f>100260+6379.2</f>
        <v>106639.2</v>
      </c>
      <c r="I4" s="197">
        <f>15000</f>
        <v>15000</v>
      </c>
      <c r="J4" s="198">
        <f t="shared" ref="J4:J23" si="1">H4-I4</f>
        <v>91639.2</v>
      </c>
    </row>
    <row r="5">
      <c r="B5" s="199" t="s">
        <v>19</v>
      </c>
      <c r="C5" s="154" t="s">
        <v>20</v>
      </c>
      <c r="D5" s="158" t="s">
        <v>21</v>
      </c>
      <c r="E5" s="158" t="s">
        <v>21</v>
      </c>
      <c r="F5" s="156" t="s">
        <v>22</v>
      </c>
      <c r="G5" s="156" t="s">
        <v>23</v>
      </c>
      <c r="H5" s="200">
        <v>98140.56</v>
      </c>
      <c r="I5" s="201">
        <f>8178.38*3</f>
        <v>24535.14</v>
      </c>
      <c r="J5" s="198">
        <f t="shared" si="1"/>
        <v>73605.42</v>
      </c>
    </row>
    <row r="6">
      <c r="B6" s="199" t="s">
        <v>27</v>
      </c>
      <c r="C6" s="154" t="s">
        <v>28</v>
      </c>
      <c r="D6" s="155" t="s">
        <v>29</v>
      </c>
      <c r="E6" s="155" t="s">
        <v>30</v>
      </c>
      <c r="F6" s="156" t="s">
        <v>31</v>
      </c>
      <c r="G6" s="156" t="s">
        <v>165</v>
      </c>
      <c r="H6" s="200">
        <v>181417.5</v>
      </c>
      <c r="I6" s="201">
        <v>0.0</v>
      </c>
      <c r="J6" s="198">
        <f t="shared" si="1"/>
        <v>181417.5</v>
      </c>
    </row>
    <row r="7">
      <c r="B7" s="199" t="s">
        <v>34</v>
      </c>
      <c r="C7" s="154" t="s">
        <v>35</v>
      </c>
      <c r="D7" s="155" t="s">
        <v>36</v>
      </c>
      <c r="E7" s="155" t="s">
        <v>36</v>
      </c>
      <c r="F7" s="156" t="s">
        <v>37</v>
      </c>
      <c r="G7" s="156" t="s">
        <v>166</v>
      </c>
      <c r="H7" s="200">
        <v>400411.25</v>
      </c>
      <c r="I7" s="201">
        <v>0.0</v>
      </c>
      <c r="J7" s="198">
        <f t="shared" si="1"/>
        <v>400411.25</v>
      </c>
    </row>
    <row r="8">
      <c r="B8" s="199" t="s">
        <v>45</v>
      </c>
      <c r="C8" s="154" t="s">
        <v>46</v>
      </c>
      <c r="D8" s="155" t="s">
        <v>47</v>
      </c>
      <c r="E8" s="155" t="s">
        <v>48</v>
      </c>
      <c r="F8" s="156" t="s">
        <v>49</v>
      </c>
      <c r="G8" s="156" t="s">
        <v>50</v>
      </c>
      <c r="H8" s="200">
        <f>99915+3686.36</f>
        <v>103601.36</v>
      </c>
      <c r="I8" s="201">
        <f>25900.44+51800.88+17266.96</f>
        <v>94968.28</v>
      </c>
      <c r="J8" s="198">
        <f t="shared" si="1"/>
        <v>8633.08</v>
      </c>
    </row>
    <row r="9">
      <c r="B9" s="199" t="s">
        <v>40</v>
      </c>
      <c r="C9" s="154" t="s">
        <v>167</v>
      </c>
      <c r="D9" s="155"/>
      <c r="E9" s="155"/>
      <c r="F9" s="156" t="s">
        <v>168</v>
      </c>
      <c r="G9" s="156" t="s">
        <v>169</v>
      </c>
      <c r="H9" s="200">
        <v>139152.0</v>
      </c>
      <c r="I9" s="201">
        <v>0.0</v>
      </c>
      <c r="J9" s="198">
        <f t="shared" si="1"/>
        <v>139152</v>
      </c>
    </row>
    <row r="10">
      <c r="B10" s="199" t="s">
        <v>53</v>
      </c>
      <c r="C10" s="154" t="s">
        <v>170</v>
      </c>
      <c r="D10" s="155" t="s">
        <v>55</v>
      </c>
      <c r="E10" s="155" t="s">
        <v>55</v>
      </c>
      <c r="F10" s="156" t="s">
        <v>56</v>
      </c>
      <c r="G10" s="156" t="s">
        <v>57</v>
      </c>
      <c r="H10" s="200">
        <v>369339.48</v>
      </c>
      <c r="I10" s="201">
        <f>30778.29+30778.29</f>
        <v>61556.58</v>
      </c>
      <c r="J10" s="198">
        <f t="shared" si="1"/>
        <v>307782.9</v>
      </c>
    </row>
    <row r="11">
      <c r="B11" s="202">
        <v>45658.0</v>
      </c>
      <c r="C11" s="203" t="s">
        <v>59</v>
      </c>
      <c r="D11" s="158" t="s">
        <v>60</v>
      </c>
      <c r="E11" s="158" t="s">
        <v>60</v>
      </c>
      <c r="F11" s="156" t="s">
        <v>61</v>
      </c>
      <c r="G11" s="156" t="s">
        <v>62</v>
      </c>
      <c r="H11" s="200">
        <v>5060.0</v>
      </c>
      <c r="I11" s="201">
        <f>2282.06</f>
        <v>2282.06</v>
      </c>
      <c r="J11" s="198">
        <f t="shared" si="1"/>
        <v>2777.94</v>
      </c>
    </row>
    <row r="12">
      <c r="B12" s="202">
        <v>45689.0</v>
      </c>
      <c r="C12" s="154" t="s">
        <v>64</v>
      </c>
      <c r="D12" s="155" t="s">
        <v>65</v>
      </c>
      <c r="E12" s="155" t="s">
        <v>65</v>
      </c>
      <c r="F12" s="156" t="s">
        <v>66</v>
      </c>
      <c r="G12" s="156" t="s">
        <v>67</v>
      </c>
      <c r="H12" s="200">
        <v>5700.0</v>
      </c>
      <c r="I12" s="201">
        <v>0.0</v>
      </c>
      <c r="J12" s="198">
        <f t="shared" si="1"/>
        <v>5700</v>
      </c>
    </row>
    <row r="13">
      <c r="B13" s="204">
        <v>45717.0</v>
      </c>
      <c r="C13" s="154" t="s">
        <v>69</v>
      </c>
      <c r="D13" s="155" t="s">
        <v>70</v>
      </c>
      <c r="E13" s="155" t="s">
        <v>70</v>
      </c>
      <c r="F13" s="156" t="s">
        <v>71</v>
      </c>
      <c r="G13" s="156" t="s">
        <v>171</v>
      </c>
      <c r="H13" s="200">
        <v>1320.0</v>
      </c>
      <c r="I13" s="205">
        <v>0.0</v>
      </c>
      <c r="J13" s="198">
        <f t="shared" si="1"/>
        <v>1320</v>
      </c>
    </row>
    <row r="14">
      <c r="B14" s="199" t="s">
        <v>74</v>
      </c>
      <c r="C14" s="154" t="s">
        <v>75</v>
      </c>
      <c r="D14" s="155" t="s">
        <v>76</v>
      </c>
      <c r="E14" s="155" t="s">
        <v>77</v>
      </c>
      <c r="F14" s="156" t="s">
        <v>78</v>
      </c>
      <c r="G14" s="156" t="s">
        <v>172</v>
      </c>
      <c r="H14" s="200">
        <v>8001.6</v>
      </c>
      <c r="I14" s="205">
        <f>2687.91+1333.6</f>
        <v>4021.51</v>
      </c>
      <c r="J14" s="198">
        <f t="shared" si="1"/>
        <v>3980.09</v>
      </c>
    </row>
    <row r="15">
      <c r="B15" s="199" t="s">
        <v>173</v>
      </c>
      <c r="C15" s="154" t="s">
        <v>83</v>
      </c>
      <c r="D15" s="155" t="s">
        <v>84</v>
      </c>
      <c r="E15" s="155" t="s">
        <v>84</v>
      </c>
      <c r="F15" s="156" t="s">
        <v>97</v>
      </c>
      <c r="G15" s="156" t="s">
        <v>86</v>
      </c>
      <c r="H15" s="200">
        <v>64559.71</v>
      </c>
      <c r="I15" s="205">
        <v>0.0</v>
      </c>
      <c r="J15" s="198">
        <f t="shared" si="1"/>
        <v>64559.71</v>
      </c>
    </row>
    <row r="16" ht="30.75" customHeight="1">
      <c r="B16" s="202">
        <v>45901.0</v>
      </c>
      <c r="C16" s="154" t="s">
        <v>95</v>
      </c>
      <c r="D16" s="155" t="s">
        <v>96</v>
      </c>
      <c r="E16" s="155" t="s">
        <v>96</v>
      </c>
      <c r="F16" s="156" t="s">
        <v>97</v>
      </c>
      <c r="G16" s="156" t="s">
        <v>98</v>
      </c>
      <c r="H16" s="200">
        <v>32160.0</v>
      </c>
      <c r="I16" s="205">
        <f>8710+7035</f>
        <v>15745</v>
      </c>
      <c r="J16" s="198">
        <f t="shared" si="1"/>
        <v>16415</v>
      </c>
    </row>
    <row r="17">
      <c r="B17" s="199" t="s">
        <v>100</v>
      </c>
      <c r="C17" s="154" t="s">
        <v>101</v>
      </c>
      <c r="D17" s="155" t="s">
        <v>102</v>
      </c>
      <c r="E17" s="155" t="s">
        <v>103</v>
      </c>
      <c r="F17" s="156" t="s">
        <v>104</v>
      </c>
      <c r="G17" s="156" t="s">
        <v>105</v>
      </c>
      <c r="H17" s="200">
        <v>204.0</v>
      </c>
      <c r="I17" s="201">
        <f>130.9+5.16</f>
        <v>136.06</v>
      </c>
      <c r="J17" s="198">
        <f t="shared" si="1"/>
        <v>67.94</v>
      </c>
    </row>
    <row r="18">
      <c r="B18" s="204">
        <v>45870.0</v>
      </c>
      <c r="C18" s="154" t="s">
        <v>174</v>
      </c>
      <c r="D18" s="155"/>
      <c r="E18" s="155" t="s">
        <v>175</v>
      </c>
      <c r="F18" s="156" t="s">
        <v>176</v>
      </c>
      <c r="G18" s="156" t="s">
        <v>177</v>
      </c>
      <c r="H18" s="157">
        <v>1.308077458E7</v>
      </c>
      <c r="I18" s="206">
        <v>0.0</v>
      </c>
      <c r="J18" s="207">
        <f t="shared" si="1"/>
        <v>13080774.58</v>
      </c>
      <c r="N18" s="29"/>
      <c r="O18" s="29"/>
    </row>
    <row r="19">
      <c r="B19" s="199" t="s">
        <v>178</v>
      </c>
      <c r="C19" s="154" t="s">
        <v>179</v>
      </c>
      <c r="D19" s="155"/>
      <c r="E19" s="155" t="s">
        <v>180</v>
      </c>
      <c r="F19" s="156" t="s">
        <v>181</v>
      </c>
      <c r="G19" s="156" t="s">
        <v>182</v>
      </c>
      <c r="H19" s="157">
        <v>8474440.1</v>
      </c>
      <c r="I19" s="206">
        <v>0.0</v>
      </c>
      <c r="J19" s="207">
        <f t="shared" si="1"/>
        <v>8474440.1</v>
      </c>
      <c r="N19" s="29"/>
      <c r="O19" s="29"/>
    </row>
    <row r="20">
      <c r="B20" s="204">
        <v>46082.0</v>
      </c>
      <c r="C20" s="154" t="s">
        <v>150</v>
      </c>
      <c r="D20" s="155"/>
      <c r="E20" s="155" t="s">
        <v>151</v>
      </c>
      <c r="F20" s="156" t="s">
        <v>152</v>
      </c>
      <c r="G20" s="156" t="s">
        <v>183</v>
      </c>
      <c r="H20" s="157">
        <v>32730.0</v>
      </c>
      <c r="I20" s="145">
        <v>0.0</v>
      </c>
      <c r="J20" s="207">
        <f t="shared" si="1"/>
        <v>32730</v>
      </c>
      <c r="N20" s="29"/>
      <c r="O20" s="29"/>
    </row>
    <row r="21">
      <c r="B21" s="204">
        <v>46054.0</v>
      </c>
      <c r="C21" s="154" t="s">
        <v>154</v>
      </c>
      <c r="D21" s="155" t="s">
        <v>155</v>
      </c>
      <c r="E21" s="155" t="s">
        <v>155</v>
      </c>
      <c r="F21" s="156" t="s">
        <v>156</v>
      </c>
      <c r="G21" s="156" t="s">
        <v>184</v>
      </c>
      <c r="H21" s="157">
        <v>4693260.0</v>
      </c>
      <c r="I21" s="145">
        <v>0.0</v>
      </c>
      <c r="J21" s="207">
        <f t="shared" si="1"/>
        <v>4693260</v>
      </c>
      <c r="N21" s="29"/>
      <c r="O21" s="29"/>
    </row>
    <row r="22">
      <c r="B22" s="204">
        <v>45931.0</v>
      </c>
      <c r="C22" s="154" t="s">
        <v>185</v>
      </c>
      <c r="D22" s="158" t="s">
        <v>133</v>
      </c>
      <c r="E22" s="158" t="s">
        <v>133</v>
      </c>
      <c r="F22" s="156" t="s">
        <v>134</v>
      </c>
      <c r="G22" s="208" t="s">
        <v>186</v>
      </c>
      <c r="H22" s="157">
        <v>1600000.0</v>
      </c>
      <c r="I22" s="205">
        <v>0.0</v>
      </c>
      <c r="J22" s="198">
        <f t="shared" si="1"/>
        <v>1600000</v>
      </c>
      <c r="N22" s="29"/>
      <c r="O22" s="29"/>
    </row>
    <row r="23" ht="48.0" customHeight="1">
      <c r="B23" s="199" t="s">
        <v>136</v>
      </c>
      <c r="C23" s="203" t="s">
        <v>137</v>
      </c>
      <c r="D23" s="158" t="s">
        <v>138</v>
      </c>
      <c r="E23" s="158" t="s">
        <v>138</v>
      </c>
      <c r="F23" s="156" t="s">
        <v>139</v>
      </c>
      <c r="G23" s="208" t="s">
        <v>169</v>
      </c>
      <c r="H23" s="209">
        <v>300641.04</v>
      </c>
      <c r="I23" s="205">
        <v>0.0</v>
      </c>
      <c r="J23" s="210">
        <f t="shared" si="1"/>
        <v>300641.04</v>
      </c>
      <c r="N23" s="29"/>
      <c r="O23" s="29"/>
    </row>
    <row r="24" ht="39.0" customHeight="1">
      <c r="B24" s="211" t="s">
        <v>187</v>
      </c>
      <c r="C24" s="212" t="s">
        <v>141</v>
      </c>
      <c r="D24" s="213" t="s">
        <v>142</v>
      </c>
      <c r="E24" s="213" t="s">
        <v>142</v>
      </c>
      <c r="F24" s="214" t="s">
        <v>143</v>
      </c>
      <c r="G24" s="215" t="s">
        <v>188</v>
      </c>
      <c r="H24" s="216">
        <v>20560.0</v>
      </c>
      <c r="I24" s="217">
        <v>0.0</v>
      </c>
      <c r="J24" s="218">
        <v>20560.0</v>
      </c>
      <c r="N24" s="29"/>
      <c r="O24" s="29"/>
    </row>
    <row r="25" ht="26.25" customHeight="1"/>
    <row r="28">
      <c r="B28" s="186" t="s">
        <v>189</v>
      </c>
      <c r="C28" s="187"/>
      <c r="D28" s="187"/>
      <c r="E28" s="187"/>
      <c r="F28" s="187"/>
      <c r="G28" s="187"/>
      <c r="H28" s="187"/>
      <c r="I28" s="187"/>
      <c r="J28" s="188"/>
    </row>
    <row r="29">
      <c r="B29" s="189" t="s">
        <v>1</v>
      </c>
      <c r="C29" s="189" t="s">
        <v>2</v>
      </c>
      <c r="D29" s="190" t="s">
        <v>3</v>
      </c>
      <c r="E29" s="190" t="s">
        <v>4</v>
      </c>
      <c r="F29" s="191" t="s">
        <v>5</v>
      </c>
      <c r="G29" s="189" t="s">
        <v>6</v>
      </c>
      <c r="H29" s="191" t="s">
        <v>190</v>
      </c>
      <c r="I29" s="189" t="s">
        <v>9</v>
      </c>
      <c r="J29" s="189" t="s">
        <v>163</v>
      </c>
    </row>
    <row r="30">
      <c r="B30" s="199" t="s">
        <v>191</v>
      </c>
      <c r="C30" s="154" t="s">
        <v>90</v>
      </c>
      <c r="D30" s="155" t="s">
        <v>91</v>
      </c>
      <c r="E30" s="155" t="s">
        <v>91</v>
      </c>
      <c r="F30" s="156" t="s">
        <v>92</v>
      </c>
      <c r="G30" s="156" t="s">
        <v>93</v>
      </c>
      <c r="H30" s="200">
        <f>12168.18*13</f>
        <v>158186.34</v>
      </c>
      <c r="I30" s="205">
        <f>12168.18*2</f>
        <v>24336.36</v>
      </c>
      <c r="J30" s="198">
        <f t="shared" ref="J30:J32" si="2">H30-I30</f>
        <v>133849.98</v>
      </c>
    </row>
    <row r="31">
      <c r="B31" s="199" t="s">
        <v>191</v>
      </c>
      <c r="C31" s="203" t="s">
        <v>145</v>
      </c>
      <c r="D31" s="158" t="s">
        <v>146</v>
      </c>
      <c r="E31" s="158" t="s">
        <v>146</v>
      </c>
      <c r="F31" s="219" t="s">
        <v>192</v>
      </c>
      <c r="G31" s="156" t="s">
        <v>93</v>
      </c>
      <c r="H31" s="209">
        <v>1730.25</v>
      </c>
      <c r="I31" s="205">
        <v>1730.25</v>
      </c>
      <c r="J31" s="210">
        <f t="shared" si="2"/>
        <v>0</v>
      </c>
    </row>
    <row r="32">
      <c r="B32" s="211" t="s">
        <v>191</v>
      </c>
      <c r="C32" s="220" t="s">
        <v>147</v>
      </c>
      <c r="D32" s="213" t="s">
        <v>148</v>
      </c>
      <c r="E32" s="213" t="s">
        <v>148</v>
      </c>
      <c r="F32" s="221" t="s">
        <v>149</v>
      </c>
      <c r="G32" s="156" t="s">
        <v>93</v>
      </c>
      <c r="H32" s="216">
        <f>1331.31*13</f>
        <v>17307.03</v>
      </c>
      <c r="I32" s="222">
        <f>1331.24*3</f>
        <v>3993.72</v>
      </c>
      <c r="J32" s="218">
        <f t="shared" si="2"/>
        <v>13313.31</v>
      </c>
    </row>
    <row r="36">
      <c r="B36" s="186" t="s">
        <v>193</v>
      </c>
      <c r="C36" s="187"/>
      <c r="D36" s="187"/>
      <c r="E36" s="187"/>
      <c r="F36" s="187"/>
      <c r="G36" s="187"/>
      <c r="H36" s="187"/>
      <c r="I36" s="187"/>
      <c r="J36" s="188"/>
    </row>
    <row r="37">
      <c r="B37" s="189" t="s">
        <v>1</v>
      </c>
      <c r="C37" s="189" t="s">
        <v>2</v>
      </c>
      <c r="D37" s="190" t="s">
        <v>3</v>
      </c>
      <c r="E37" s="190" t="s">
        <v>4</v>
      </c>
      <c r="F37" s="191" t="s">
        <v>5</v>
      </c>
      <c r="G37" s="189" t="s">
        <v>6</v>
      </c>
      <c r="H37" s="189" t="s">
        <v>162</v>
      </c>
      <c r="I37" s="189" t="s">
        <v>9</v>
      </c>
      <c r="J37" s="189" t="s">
        <v>163</v>
      </c>
    </row>
    <row r="38">
      <c r="B38" s="192" t="s">
        <v>194</v>
      </c>
      <c r="C38" s="193" t="s">
        <v>195</v>
      </c>
      <c r="D38" s="194" t="s">
        <v>15</v>
      </c>
      <c r="E38" s="194"/>
      <c r="F38" s="195" t="s">
        <v>196</v>
      </c>
      <c r="G38" s="195" t="s">
        <v>197</v>
      </c>
      <c r="H38" s="196">
        <v>8772840.0</v>
      </c>
      <c r="I38" s="197"/>
      <c r="J38" s="198">
        <f t="shared" ref="J38:J39" si="3">H38-I38</f>
        <v>8772840</v>
      </c>
    </row>
    <row r="39">
      <c r="B39" s="192" t="s">
        <v>198</v>
      </c>
      <c r="C39" s="193" t="s">
        <v>199</v>
      </c>
      <c r="D39" s="194" t="s">
        <v>15</v>
      </c>
      <c r="E39" s="194"/>
      <c r="F39" s="195" t="s">
        <v>196</v>
      </c>
      <c r="G39" s="195" t="s">
        <v>197</v>
      </c>
      <c r="H39" s="196">
        <v>1.412195865E7</v>
      </c>
      <c r="I39" s="197">
        <v>5489682.92</v>
      </c>
      <c r="J39" s="198">
        <f t="shared" si="3"/>
        <v>8632275.73</v>
      </c>
    </row>
    <row r="40">
      <c r="B40" s="223"/>
      <c r="C40" s="223"/>
      <c r="D40" s="223"/>
      <c r="E40" s="223"/>
      <c r="F40" s="223"/>
      <c r="G40" s="223"/>
      <c r="H40" s="224"/>
      <c r="I40" s="223"/>
      <c r="J40" s="223"/>
    </row>
    <row r="41">
      <c r="B41" s="225"/>
      <c r="C41" s="226"/>
      <c r="D41" s="223"/>
      <c r="E41" s="223"/>
      <c r="F41" s="226"/>
      <c r="G41" s="225"/>
      <c r="H41" s="227"/>
      <c r="I41" s="223"/>
      <c r="J41" s="223"/>
    </row>
    <row r="42">
      <c r="B42" s="223"/>
      <c r="C42" s="223"/>
      <c r="D42" s="223"/>
      <c r="E42" s="223"/>
      <c r="F42" s="223"/>
      <c r="G42" s="223"/>
      <c r="H42" s="224"/>
      <c r="I42" s="223"/>
      <c r="J42" s="223"/>
    </row>
    <row r="43">
      <c r="B43" s="223"/>
      <c r="C43" s="223"/>
      <c r="D43" s="223"/>
      <c r="E43" s="223"/>
      <c r="F43" s="223"/>
      <c r="G43" s="223"/>
      <c r="H43" s="224"/>
      <c r="I43" s="223"/>
      <c r="J43" s="223"/>
    </row>
    <row r="44">
      <c r="B44" s="223"/>
      <c r="C44" s="223"/>
      <c r="D44" s="223"/>
      <c r="E44" s="223"/>
      <c r="F44" s="223"/>
      <c r="G44" s="223"/>
      <c r="H44" s="224"/>
      <c r="I44" s="223"/>
      <c r="J44" s="223"/>
    </row>
    <row r="45">
      <c r="B45" s="223"/>
      <c r="C45" s="223"/>
      <c r="D45" s="223"/>
      <c r="E45" s="223"/>
      <c r="F45" s="223"/>
      <c r="G45" s="223"/>
      <c r="H45" s="224"/>
      <c r="I45" s="223"/>
      <c r="J45" s="223"/>
    </row>
    <row r="46">
      <c r="B46" s="223"/>
      <c r="C46" s="223"/>
      <c r="D46" s="223"/>
      <c r="E46" s="223"/>
      <c r="F46" s="223"/>
      <c r="G46" s="223"/>
      <c r="H46" s="224"/>
      <c r="I46" s="223"/>
      <c r="J46" s="223"/>
    </row>
    <row r="47">
      <c r="B47" s="223"/>
      <c r="C47" s="223"/>
      <c r="D47" s="223"/>
      <c r="E47" s="223"/>
      <c r="F47" s="223"/>
      <c r="G47" s="223"/>
      <c r="H47" s="224"/>
      <c r="I47" s="223"/>
      <c r="J47" s="223"/>
    </row>
    <row r="48">
      <c r="B48" s="223"/>
      <c r="C48" s="223"/>
      <c r="D48" s="223"/>
      <c r="E48" s="223"/>
      <c r="F48" s="223"/>
      <c r="G48" s="223"/>
      <c r="H48" s="224"/>
      <c r="I48" s="223"/>
      <c r="J48" s="223"/>
    </row>
    <row r="49">
      <c r="B49" s="223"/>
      <c r="C49" s="223"/>
      <c r="D49" s="223"/>
      <c r="E49" s="223"/>
      <c r="F49" s="223"/>
      <c r="G49" s="223"/>
      <c r="H49" s="223"/>
      <c r="I49" s="223"/>
      <c r="J49" s="223"/>
    </row>
    <row r="50">
      <c r="B50" s="223"/>
      <c r="C50" s="223"/>
      <c r="D50" s="223"/>
      <c r="E50" s="223"/>
      <c r="F50" s="223"/>
      <c r="G50" s="223"/>
      <c r="H50" s="223"/>
      <c r="I50" s="223"/>
      <c r="J50" s="223"/>
    </row>
  </sheetData>
  <mergeCells count="3">
    <mergeCell ref="B2:J2"/>
    <mergeCell ref="B28:J28"/>
    <mergeCell ref="B36:J36"/>
  </mergeCells>
  <conditionalFormatting sqref="J4:J25 J30:J32 J38:J39">
    <cfRule type="containsText" dxfId="1" priority="1" operator="containsText" text="não">
      <formula>NOT(ISERROR(SEARCH(("não"),(J4))))</formula>
    </cfRule>
  </conditionalFormatting>
  <conditionalFormatting sqref="I4:I24 J4:J25 K4:M24 I30 J30:J32 I38:J39">
    <cfRule type="notContainsBlanks" dxfId="3" priority="2">
      <formula>LEN(TRIM(I4))&gt;0</formula>
    </cfRule>
  </conditionalFormatting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3.0"/>
    <col customWidth="1" min="3" max="3" width="20.88"/>
    <col customWidth="1" min="4" max="4" width="16.75"/>
    <col customWidth="1" min="5" max="5" width="13.75"/>
    <col customWidth="1" min="6" max="6" width="15.0"/>
    <col customWidth="1" min="7" max="7" width="11.5"/>
    <col customWidth="1" min="8" max="8" width="12.38"/>
    <col customWidth="1" min="9" max="9" width="13.25"/>
    <col customWidth="1" min="10" max="10" width="12.13"/>
    <col customWidth="1" min="11" max="11" width="11.75"/>
    <col customWidth="1" min="12" max="12" width="18.63"/>
    <col customWidth="1" min="13" max="13" width="15.88"/>
    <col customWidth="1" min="14" max="14" width="17.13"/>
    <col customWidth="1" min="15" max="15" width="13.5"/>
    <col customWidth="1" min="16" max="17" width="13.75"/>
    <col customWidth="1" min="18" max="18" width="13.5"/>
    <col customWidth="1" min="22" max="22" width="23.38"/>
    <col customWidth="1" min="23" max="23" width="20.38"/>
    <col customWidth="1" min="24" max="24" width="18.5"/>
    <col customWidth="1" min="25" max="25" width="24.0"/>
  </cols>
  <sheetData>
    <row r="1" ht="23.25" customHeight="1">
      <c r="T1" s="228"/>
    </row>
    <row r="2">
      <c r="C2" s="229" t="s">
        <v>200</v>
      </c>
      <c r="D2" s="230"/>
      <c r="E2" s="230"/>
      <c r="F2" s="230"/>
      <c r="G2" s="230"/>
      <c r="H2" s="230"/>
      <c r="I2" s="230"/>
      <c r="J2" s="231"/>
      <c r="L2" s="232" t="s">
        <v>201</v>
      </c>
      <c r="M2" s="233"/>
      <c r="N2" s="233"/>
      <c r="O2" s="233"/>
      <c r="P2" s="233"/>
      <c r="Q2" s="233"/>
      <c r="R2" s="233"/>
      <c r="S2" s="234"/>
      <c r="T2" s="235" t="s">
        <v>202</v>
      </c>
    </row>
    <row r="3">
      <c r="C3" s="236" t="s">
        <v>203</v>
      </c>
      <c r="D3" s="237" t="s">
        <v>204</v>
      </c>
      <c r="E3" s="238" t="s">
        <v>205</v>
      </c>
      <c r="F3" s="238" t="s">
        <v>206</v>
      </c>
      <c r="G3" s="238" t="s">
        <v>8</v>
      </c>
      <c r="H3" s="238" t="s">
        <v>10</v>
      </c>
      <c r="I3" s="238" t="s">
        <v>207</v>
      </c>
      <c r="J3" s="239" t="s">
        <v>208</v>
      </c>
      <c r="L3" s="236" t="s">
        <v>204</v>
      </c>
      <c r="M3" s="240" t="s">
        <v>205</v>
      </c>
      <c r="N3" s="236" t="s">
        <v>203</v>
      </c>
      <c r="O3" s="238" t="s">
        <v>209</v>
      </c>
      <c r="P3" s="238" t="s">
        <v>8</v>
      </c>
      <c r="Q3" s="238"/>
      <c r="R3" s="238" t="s">
        <v>210</v>
      </c>
      <c r="S3" s="238" t="s">
        <v>10</v>
      </c>
      <c r="T3" s="241"/>
    </row>
    <row r="4">
      <c r="C4" s="242" t="s">
        <v>211</v>
      </c>
      <c r="D4" s="243" t="s">
        <v>212</v>
      </c>
      <c r="E4" s="244">
        <v>46023.0</v>
      </c>
      <c r="F4" s="245">
        <v>22823.02</v>
      </c>
      <c r="G4" s="246" t="s">
        <v>213</v>
      </c>
      <c r="H4" s="247" t="s">
        <v>214</v>
      </c>
      <c r="I4" s="246" t="s">
        <v>215</v>
      </c>
      <c r="J4" s="248" t="s">
        <v>215</v>
      </c>
      <c r="L4" s="249" t="s">
        <v>216</v>
      </c>
      <c r="M4" s="250">
        <v>46048.0</v>
      </c>
      <c r="N4" s="251">
        <v>88.0</v>
      </c>
      <c r="O4" s="252" t="s">
        <v>217</v>
      </c>
      <c r="P4" s="251" t="s">
        <v>218</v>
      </c>
      <c r="Q4" s="253"/>
      <c r="R4" s="254" t="s">
        <v>219</v>
      </c>
      <c r="S4" s="253" t="s">
        <v>25</v>
      </c>
      <c r="T4" s="255" t="s">
        <v>215</v>
      </c>
    </row>
    <row r="5">
      <c r="C5" s="256"/>
      <c r="D5" s="243" t="s">
        <v>220</v>
      </c>
      <c r="E5" s="257"/>
      <c r="F5" s="245">
        <v>1450.41</v>
      </c>
      <c r="G5" s="258"/>
      <c r="H5" s="247" t="s">
        <v>221</v>
      </c>
      <c r="I5" s="258"/>
      <c r="J5" s="259"/>
      <c r="L5" s="260"/>
      <c r="M5" s="261"/>
      <c r="N5" s="262"/>
      <c r="O5" s="262"/>
      <c r="P5" s="262"/>
      <c r="Q5" s="263"/>
      <c r="R5" s="264" t="s">
        <v>222</v>
      </c>
      <c r="S5" s="263" t="s">
        <v>116</v>
      </c>
      <c r="T5" s="265"/>
    </row>
    <row r="6">
      <c r="C6" s="256"/>
      <c r="D6" s="243" t="s">
        <v>223</v>
      </c>
      <c r="E6" s="257"/>
      <c r="F6" s="245">
        <v>3313.68</v>
      </c>
      <c r="G6" s="258"/>
      <c r="H6" s="247" t="s">
        <v>224</v>
      </c>
      <c r="I6" s="258"/>
      <c r="J6" s="259"/>
      <c r="L6" s="266" t="s">
        <v>225</v>
      </c>
      <c r="M6" s="267"/>
      <c r="N6" s="251">
        <v>90.0</v>
      </c>
      <c r="O6" s="252" t="s">
        <v>226</v>
      </c>
      <c r="P6" s="251" t="s">
        <v>227</v>
      </c>
      <c r="Q6" s="263"/>
      <c r="R6" s="264" t="s">
        <v>228</v>
      </c>
      <c r="S6" s="268" t="s">
        <v>25</v>
      </c>
      <c r="T6" s="255" t="s">
        <v>215</v>
      </c>
    </row>
    <row r="7">
      <c r="C7" s="256"/>
      <c r="D7" s="243" t="s">
        <v>229</v>
      </c>
      <c r="E7" s="257"/>
      <c r="F7" s="245">
        <v>2123.21</v>
      </c>
      <c r="G7" s="258"/>
      <c r="H7" s="247" t="s">
        <v>230</v>
      </c>
      <c r="I7" s="258"/>
      <c r="J7" s="259"/>
      <c r="L7" s="260"/>
      <c r="M7" s="261"/>
      <c r="N7" s="262"/>
      <c r="O7" s="262"/>
      <c r="P7" s="262"/>
      <c r="Q7" s="263"/>
      <c r="R7" s="264" t="s">
        <v>231</v>
      </c>
      <c r="S7" s="268" t="s">
        <v>116</v>
      </c>
      <c r="T7" s="265"/>
    </row>
    <row r="8">
      <c r="C8" s="256"/>
      <c r="D8" s="243" t="s">
        <v>232</v>
      </c>
      <c r="E8" s="257"/>
      <c r="F8" s="245">
        <v>2253.64</v>
      </c>
      <c r="G8" s="258"/>
      <c r="H8" s="247" t="s">
        <v>233</v>
      </c>
      <c r="I8" s="258"/>
      <c r="J8" s="259"/>
      <c r="L8" s="266" t="s">
        <v>234</v>
      </c>
      <c r="M8" s="267"/>
      <c r="N8" s="251">
        <v>91.0</v>
      </c>
      <c r="O8" s="252">
        <v>155000.0</v>
      </c>
      <c r="P8" s="251" t="s">
        <v>235</v>
      </c>
      <c r="Q8" s="263"/>
      <c r="R8" s="264">
        <v>13269.8</v>
      </c>
      <c r="S8" s="268" t="s">
        <v>25</v>
      </c>
      <c r="T8" s="255" t="s">
        <v>117</v>
      </c>
    </row>
    <row r="9">
      <c r="C9" s="256"/>
      <c r="D9" s="243" t="s">
        <v>236</v>
      </c>
      <c r="E9" s="257"/>
      <c r="F9" s="245">
        <v>2764.28</v>
      </c>
      <c r="G9" s="258"/>
      <c r="H9" s="247" t="s">
        <v>237</v>
      </c>
      <c r="I9" s="258"/>
      <c r="J9" s="259"/>
      <c r="L9" s="260"/>
      <c r="M9" s="261"/>
      <c r="N9" s="262"/>
      <c r="O9" s="262"/>
      <c r="P9" s="262"/>
      <c r="Q9" s="263"/>
      <c r="R9" s="264">
        <v>1822.38</v>
      </c>
      <c r="S9" s="268" t="s">
        <v>116</v>
      </c>
      <c r="T9" s="265"/>
    </row>
    <row r="10">
      <c r="C10" s="256"/>
      <c r="D10" s="243" t="s">
        <v>238</v>
      </c>
      <c r="E10" s="257"/>
      <c r="F10" s="245">
        <v>8040.43</v>
      </c>
      <c r="G10" s="258"/>
      <c r="H10" s="247" t="s">
        <v>239</v>
      </c>
      <c r="I10" s="258"/>
      <c r="J10" s="259"/>
      <c r="L10" s="266" t="s">
        <v>240</v>
      </c>
      <c r="M10" s="267"/>
      <c r="N10" s="251">
        <v>108.0</v>
      </c>
      <c r="O10" s="252">
        <v>395890.24</v>
      </c>
      <c r="P10" s="251" t="s">
        <v>241</v>
      </c>
      <c r="Q10" s="263"/>
      <c r="R10" s="264">
        <v>26762.72</v>
      </c>
      <c r="S10" s="269" t="s">
        <v>25</v>
      </c>
      <c r="T10" s="255" t="s">
        <v>117</v>
      </c>
    </row>
    <row r="11">
      <c r="C11" s="256"/>
      <c r="D11" s="243" t="s">
        <v>242</v>
      </c>
      <c r="E11" s="257"/>
      <c r="F11" s="245">
        <v>4909.45</v>
      </c>
      <c r="G11" s="258"/>
      <c r="H11" s="247" t="s">
        <v>243</v>
      </c>
      <c r="I11" s="258"/>
      <c r="J11" s="259"/>
      <c r="L11" s="260"/>
      <c r="M11" s="261"/>
      <c r="N11" s="262"/>
      <c r="O11" s="262"/>
      <c r="P11" s="262"/>
      <c r="Q11" s="263"/>
      <c r="R11" s="264">
        <v>3504.93</v>
      </c>
      <c r="S11" s="269" t="s">
        <v>116</v>
      </c>
      <c r="T11" s="265"/>
    </row>
    <row r="12">
      <c r="C12" s="256"/>
      <c r="D12" s="243" t="s">
        <v>244</v>
      </c>
      <c r="E12" s="257"/>
      <c r="F12" s="245">
        <v>9262.91</v>
      </c>
      <c r="G12" s="258"/>
      <c r="H12" s="247" t="s">
        <v>245</v>
      </c>
      <c r="I12" s="258"/>
      <c r="J12" s="259"/>
      <c r="L12" s="266" t="s">
        <v>246</v>
      </c>
      <c r="M12" s="267"/>
      <c r="N12" s="251">
        <v>89.0</v>
      </c>
      <c r="O12" s="252">
        <v>150000.0</v>
      </c>
      <c r="P12" s="251" t="s">
        <v>247</v>
      </c>
      <c r="Q12" s="263"/>
      <c r="R12" s="264">
        <v>7788.59</v>
      </c>
      <c r="S12" s="269" t="s">
        <v>25</v>
      </c>
      <c r="T12" s="255" t="s">
        <v>117</v>
      </c>
    </row>
    <row r="13">
      <c r="C13" s="256"/>
      <c r="D13" s="243" t="s">
        <v>248</v>
      </c>
      <c r="E13" s="257"/>
      <c r="F13" s="245">
        <v>15462.47</v>
      </c>
      <c r="G13" s="258"/>
      <c r="H13" s="247" t="s">
        <v>249</v>
      </c>
      <c r="I13" s="258"/>
      <c r="J13" s="259"/>
      <c r="L13" s="260"/>
      <c r="M13" s="261"/>
      <c r="N13" s="262"/>
      <c r="O13" s="262"/>
      <c r="P13" s="262"/>
      <c r="Q13" s="263"/>
      <c r="R13" s="264">
        <v>1078.44</v>
      </c>
      <c r="S13" s="270" t="s">
        <v>116</v>
      </c>
      <c r="T13" s="265"/>
    </row>
    <row r="14">
      <c r="C14" s="256"/>
      <c r="D14" s="243" t="s">
        <v>250</v>
      </c>
      <c r="E14" s="257"/>
      <c r="F14" s="245">
        <v>7772.91</v>
      </c>
      <c r="G14" s="258"/>
      <c r="H14" s="247" t="s">
        <v>251</v>
      </c>
      <c r="I14" s="258"/>
      <c r="J14" s="259"/>
      <c r="L14" s="266" t="s">
        <v>252</v>
      </c>
      <c r="M14" s="267"/>
      <c r="N14" s="251">
        <v>131.0</v>
      </c>
      <c r="O14" s="252" t="s">
        <v>253</v>
      </c>
      <c r="P14" s="251" t="s">
        <v>254</v>
      </c>
      <c r="Q14" s="263"/>
      <c r="R14" s="264" t="s">
        <v>255</v>
      </c>
      <c r="S14" s="270" t="s">
        <v>25</v>
      </c>
      <c r="T14" s="271" t="s">
        <v>256</v>
      </c>
    </row>
    <row r="15">
      <c r="C15" s="256"/>
      <c r="D15" s="243" t="s">
        <v>257</v>
      </c>
      <c r="E15" s="257"/>
      <c r="F15" s="245">
        <v>2885.45</v>
      </c>
      <c r="G15" s="258"/>
      <c r="H15" s="247" t="s">
        <v>258</v>
      </c>
      <c r="I15" s="258"/>
      <c r="J15" s="259"/>
      <c r="L15" s="260"/>
      <c r="M15" s="261"/>
      <c r="N15" s="262"/>
      <c r="O15" s="262"/>
      <c r="P15" s="262"/>
      <c r="Q15" s="263"/>
      <c r="R15" s="264" t="s">
        <v>259</v>
      </c>
      <c r="S15" s="269" t="s">
        <v>116</v>
      </c>
      <c r="T15" s="265"/>
    </row>
    <row r="16">
      <c r="C16" s="256"/>
      <c r="D16" s="243" t="s">
        <v>260</v>
      </c>
      <c r="E16" s="257"/>
      <c r="F16" s="245">
        <v>6667.62</v>
      </c>
      <c r="G16" s="258"/>
      <c r="H16" s="247" t="s">
        <v>261</v>
      </c>
      <c r="I16" s="258"/>
      <c r="J16" s="259"/>
      <c r="L16" s="266" t="s">
        <v>262</v>
      </c>
      <c r="M16" s="267"/>
      <c r="N16" s="251">
        <v>92.0</v>
      </c>
      <c r="O16" s="252">
        <v>322944.0</v>
      </c>
      <c r="P16" s="251" t="s">
        <v>263</v>
      </c>
      <c r="Q16" s="263"/>
      <c r="R16" s="264">
        <v>22556.02</v>
      </c>
      <c r="S16" s="269" t="s">
        <v>25</v>
      </c>
      <c r="T16" s="255" t="s">
        <v>117</v>
      </c>
    </row>
    <row r="17">
      <c r="C17" s="256"/>
      <c r="D17" s="243" t="s">
        <v>264</v>
      </c>
      <c r="E17" s="257"/>
      <c r="F17" s="245">
        <v>8812.15</v>
      </c>
      <c r="G17" s="258"/>
      <c r="H17" s="247" t="s">
        <v>265</v>
      </c>
      <c r="I17" s="258"/>
      <c r="J17" s="259"/>
      <c r="L17" s="260"/>
      <c r="M17" s="261"/>
      <c r="N17" s="262"/>
      <c r="O17" s="262"/>
      <c r="P17" s="262"/>
      <c r="Q17" s="263"/>
      <c r="R17" s="264">
        <v>3055.58</v>
      </c>
      <c r="S17" s="269" t="s">
        <v>116</v>
      </c>
      <c r="T17" s="265"/>
    </row>
    <row r="18">
      <c r="C18" s="256"/>
      <c r="D18" s="272" t="s">
        <v>266</v>
      </c>
      <c r="E18" s="257"/>
      <c r="F18" s="273">
        <v>1682.14</v>
      </c>
      <c r="G18" s="258"/>
      <c r="H18" s="247" t="s">
        <v>267</v>
      </c>
      <c r="I18" s="274"/>
      <c r="J18" s="275"/>
      <c r="L18" s="276" t="s">
        <v>268</v>
      </c>
      <c r="M18" s="267"/>
      <c r="N18" s="251">
        <v>95.0</v>
      </c>
      <c r="O18" s="252">
        <v>550000.0</v>
      </c>
      <c r="P18" s="251" t="s">
        <v>269</v>
      </c>
      <c r="Q18" s="277"/>
      <c r="R18" s="264">
        <v>38859.7</v>
      </c>
      <c r="S18" s="269" t="s">
        <v>25</v>
      </c>
      <c r="T18" s="255" t="s">
        <v>117</v>
      </c>
    </row>
    <row r="19">
      <c r="C19" s="278" t="s">
        <v>270</v>
      </c>
      <c r="D19" s="279"/>
      <c r="E19" s="279"/>
      <c r="F19" s="279"/>
      <c r="G19" s="280"/>
      <c r="H19" s="281">
        <f>SUM(F4:F18)</f>
        <v>100223.77</v>
      </c>
      <c r="I19" s="279"/>
      <c r="J19" s="282"/>
      <c r="L19" s="283"/>
      <c r="M19" s="284"/>
      <c r="N19" s="284"/>
      <c r="O19" s="284"/>
      <c r="P19" s="284"/>
      <c r="Q19" s="285"/>
      <c r="R19" s="286">
        <v>5032.72</v>
      </c>
      <c r="S19" s="287" t="s">
        <v>116</v>
      </c>
      <c r="T19" s="288"/>
    </row>
    <row r="20">
      <c r="C20" s="225"/>
      <c r="D20" s="225"/>
      <c r="E20" s="289"/>
      <c r="F20" s="227"/>
      <c r="G20" s="225"/>
      <c r="H20" s="223"/>
      <c r="I20" s="223"/>
      <c r="J20" s="223"/>
      <c r="L20" s="29"/>
      <c r="M20" s="29"/>
      <c r="N20" s="29"/>
      <c r="O20" s="29"/>
      <c r="P20" s="29"/>
      <c r="Q20" s="29"/>
      <c r="R20" s="29"/>
      <c r="S20" s="29"/>
      <c r="T20" s="29"/>
    </row>
    <row r="21">
      <c r="C21" s="225"/>
      <c r="D21" s="225"/>
      <c r="E21" s="289"/>
      <c r="F21" s="227"/>
      <c r="G21" s="225"/>
      <c r="H21" s="223"/>
      <c r="I21" s="223"/>
      <c r="J21" s="223"/>
      <c r="L21" s="29"/>
      <c r="M21" s="29"/>
      <c r="N21" s="29"/>
      <c r="O21" s="29"/>
      <c r="P21" s="29"/>
      <c r="Q21" s="29"/>
      <c r="R21" s="29"/>
      <c r="S21" s="29"/>
      <c r="T21" s="29"/>
    </row>
    <row r="22">
      <c r="C22" s="225"/>
      <c r="E22" s="289"/>
      <c r="G22" s="225"/>
      <c r="H22" s="223"/>
      <c r="I22" s="223"/>
      <c r="J22" s="223"/>
      <c r="K22" s="29"/>
      <c r="L22" s="290"/>
      <c r="M22" s="29"/>
      <c r="N22" s="29"/>
      <c r="O22" s="29"/>
      <c r="P22" s="29"/>
      <c r="Q22" s="29"/>
      <c r="R22" s="29"/>
      <c r="S22" s="29"/>
      <c r="T22" s="29"/>
    </row>
    <row r="23">
      <c r="C23" s="291" t="s">
        <v>271</v>
      </c>
      <c r="D23" s="292"/>
      <c r="E23" s="292"/>
      <c r="F23" s="292"/>
      <c r="G23" s="292"/>
      <c r="H23" s="292"/>
      <c r="I23" s="292"/>
      <c r="J23" s="293"/>
      <c r="K23" s="29"/>
      <c r="L23" s="294" t="s">
        <v>272</v>
      </c>
      <c r="M23" s="292"/>
      <c r="N23" s="292"/>
      <c r="O23" s="292"/>
      <c r="P23" s="292"/>
      <c r="Q23" s="292"/>
      <c r="R23" s="292"/>
      <c r="S23" s="293"/>
      <c r="T23" s="295" t="s">
        <v>202</v>
      </c>
    </row>
    <row r="24">
      <c r="C24" s="296" t="s">
        <v>203</v>
      </c>
      <c r="D24" s="296" t="s">
        <v>204</v>
      </c>
      <c r="E24" s="296" t="s">
        <v>205</v>
      </c>
      <c r="F24" s="296" t="s">
        <v>206</v>
      </c>
      <c r="G24" s="296" t="s">
        <v>8</v>
      </c>
      <c r="H24" s="296" t="s">
        <v>10</v>
      </c>
      <c r="I24" s="296" t="s">
        <v>207</v>
      </c>
      <c r="J24" s="297" t="s">
        <v>208</v>
      </c>
      <c r="K24" s="29"/>
      <c r="L24" s="296" t="s">
        <v>204</v>
      </c>
      <c r="M24" s="296" t="s">
        <v>205</v>
      </c>
      <c r="N24" s="296" t="s">
        <v>203</v>
      </c>
      <c r="O24" s="296" t="s">
        <v>209</v>
      </c>
      <c r="P24" s="296" t="s">
        <v>8</v>
      </c>
      <c r="Q24" s="296"/>
      <c r="R24" s="296" t="s">
        <v>210</v>
      </c>
      <c r="S24" s="296" t="s">
        <v>10</v>
      </c>
      <c r="T24" s="298"/>
    </row>
    <row r="25">
      <c r="C25" s="299" t="s">
        <v>273</v>
      </c>
      <c r="D25" s="300" t="s">
        <v>220</v>
      </c>
      <c r="E25" s="301">
        <v>46054.0</v>
      </c>
      <c r="F25" s="302">
        <f>1102.4+179.74</f>
        <v>1282.14</v>
      </c>
      <c r="G25" s="303" t="s">
        <v>213</v>
      </c>
      <c r="H25" s="304" t="s">
        <v>274</v>
      </c>
      <c r="I25" s="303" t="s">
        <v>215</v>
      </c>
      <c r="J25" s="305" t="s">
        <v>131</v>
      </c>
      <c r="K25" s="29"/>
      <c r="L25" s="306" t="s">
        <v>216</v>
      </c>
      <c r="M25" s="307">
        <v>46079.0</v>
      </c>
      <c r="N25" s="308">
        <v>263.0</v>
      </c>
      <c r="O25" s="309">
        <v>31200.0</v>
      </c>
      <c r="P25" s="308" t="s">
        <v>218</v>
      </c>
      <c r="Q25" s="310"/>
      <c r="R25" s="311">
        <v>751.2</v>
      </c>
      <c r="S25" s="310" t="s">
        <v>81</v>
      </c>
      <c r="T25" s="312" t="s">
        <v>215</v>
      </c>
    </row>
    <row r="26">
      <c r="C26" s="313"/>
      <c r="D26" s="300" t="s">
        <v>223</v>
      </c>
      <c r="E26" s="314"/>
      <c r="F26" s="302">
        <f>3004.8+359.48</f>
        <v>3364.28</v>
      </c>
      <c r="G26" s="314"/>
      <c r="H26" s="300" t="s">
        <v>275</v>
      </c>
      <c r="I26" s="314"/>
      <c r="J26" s="315"/>
      <c r="K26" s="29"/>
      <c r="L26" s="316"/>
      <c r="M26" s="314"/>
      <c r="N26" s="317"/>
      <c r="O26" s="317"/>
      <c r="P26" s="317"/>
      <c r="Q26" s="310"/>
      <c r="R26" s="318">
        <v>89.87</v>
      </c>
      <c r="S26" s="319" t="s">
        <v>276</v>
      </c>
      <c r="T26" s="320"/>
    </row>
    <row r="27">
      <c r="C27" s="313"/>
      <c r="D27" s="300" t="s">
        <v>229</v>
      </c>
      <c r="E27" s="314"/>
      <c r="F27" s="302">
        <f>2304.13+359.48</f>
        <v>2663.61</v>
      </c>
      <c r="G27" s="314"/>
      <c r="H27" s="300" t="s">
        <v>277</v>
      </c>
      <c r="I27" s="314"/>
      <c r="J27" s="315"/>
      <c r="K27" s="29"/>
      <c r="L27" s="321" t="s">
        <v>225</v>
      </c>
      <c r="M27" s="314"/>
      <c r="N27" s="322">
        <v>264.0</v>
      </c>
      <c r="O27" s="323">
        <v>55000.0</v>
      </c>
      <c r="P27" s="322" t="s">
        <v>278</v>
      </c>
      <c r="Q27" s="319"/>
      <c r="R27" s="318">
        <v>3756.0</v>
      </c>
      <c r="S27" s="319" t="s">
        <v>25</v>
      </c>
      <c r="T27" s="324" t="s">
        <v>256</v>
      </c>
    </row>
    <row r="28">
      <c r="C28" s="313"/>
      <c r="D28" s="300" t="s">
        <v>232</v>
      </c>
      <c r="E28" s="314"/>
      <c r="F28" s="302">
        <f>1850.27+89.87</f>
        <v>1940.14</v>
      </c>
      <c r="G28" s="314"/>
      <c r="H28" s="300" t="s">
        <v>279</v>
      </c>
      <c r="I28" s="314"/>
      <c r="J28" s="315"/>
      <c r="K28" s="29"/>
      <c r="L28" s="316"/>
      <c r="M28" s="314"/>
      <c r="N28" s="317"/>
      <c r="O28" s="317"/>
      <c r="P28" s="317"/>
      <c r="Q28" s="319"/>
      <c r="R28" s="318">
        <v>15.43</v>
      </c>
      <c r="S28" s="319" t="s">
        <v>116</v>
      </c>
      <c r="T28" s="320"/>
    </row>
    <row r="29">
      <c r="C29" s="313"/>
      <c r="D29" s="300" t="s">
        <v>236</v>
      </c>
      <c r="E29" s="314"/>
      <c r="F29" s="302">
        <f>4552.67+988.57</f>
        <v>5541.24</v>
      </c>
      <c r="G29" s="314"/>
      <c r="H29" s="300" t="s">
        <v>280</v>
      </c>
      <c r="I29" s="314"/>
      <c r="J29" s="315"/>
      <c r="K29" s="29"/>
      <c r="L29" s="321" t="s">
        <v>234</v>
      </c>
      <c r="M29" s="314"/>
      <c r="N29" s="322">
        <v>410.0</v>
      </c>
      <c r="O29" s="323">
        <v>155000.0</v>
      </c>
      <c r="P29" s="322" t="s">
        <v>235</v>
      </c>
      <c r="Q29" s="319"/>
      <c r="R29" s="318">
        <v>13272.8</v>
      </c>
      <c r="S29" s="319" t="s">
        <v>81</v>
      </c>
      <c r="T29" s="324" t="s">
        <v>256</v>
      </c>
    </row>
    <row r="30">
      <c r="C30" s="313"/>
      <c r="D30" s="300" t="s">
        <v>238</v>
      </c>
      <c r="E30" s="314"/>
      <c r="F30" s="302">
        <f>7765.33+988.57</f>
        <v>8753.9</v>
      </c>
      <c r="G30" s="314"/>
      <c r="H30" s="300" t="s">
        <v>281</v>
      </c>
      <c r="I30" s="314"/>
      <c r="J30" s="315"/>
      <c r="K30" s="29"/>
      <c r="L30" s="316"/>
      <c r="M30" s="314"/>
      <c r="N30" s="317"/>
      <c r="O30" s="317"/>
      <c r="P30" s="317"/>
      <c r="Q30" s="319"/>
      <c r="R30" s="318">
        <v>1707.53</v>
      </c>
      <c r="S30" s="319" t="s">
        <v>276</v>
      </c>
      <c r="T30" s="320"/>
    </row>
    <row r="31">
      <c r="C31" s="313"/>
      <c r="D31" s="300" t="s">
        <v>242</v>
      </c>
      <c r="E31" s="314"/>
      <c r="F31" s="302">
        <f>4180.27+539.22</f>
        <v>4719.49</v>
      </c>
      <c r="G31" s="314"/>
      <c r="H31" s="300" t="s">
        <v>282</v>
      </c>
      <c r="I31" s="314"/>
      <c r="J31" s="315"/>
      <c r="K31" s="29"/>
      <c r="L31" s="321" t="s">
        <v>240</v>
      </c>
      <c r="M31" s="314"/>
      <c r="N31" s="322">
        <v>438.0</v>
      </c>
      <c r="O31" s="323">
        <v>395890.24</v>
      </c>
      <c r="P31" s="322" t="s">
        <v>241</v>
      </c>
      <c r="Q31" s="319"/>
      <c r="R31" s="318">
        <v>28127.87</v>
      </c>
      <c r="S31" s="325" t="s">
        <v>81</v>
      </c>
      <c r="T31" s="324" t="s">
        <v>215</v>
      </c>
    </row>
    <row r="32">
      <c r="C32" s="313"/>
      <c r="D32" s="300" t="s">
        <v>244</v>
      </c>
      <c r="E32" s="314"/>
      <c r="F32" s="302">
        <f>1977.14+10739.79</f>
        <v>12716.93</v>
      </c>
      <c r="G32" s="314"/>
      <c r="H32" s="300" t="s">
        <v>283</v>
      </c>
      <c r="I32" s="314"/>
      <c r="J32" s="315"/>
      <c r="L32" s="316"/>
      <c r="M32" s="314"/>
      <c r="N32" s="317"/>
      <c r="O32" s="317"/>
      <c r="P32" s="317"/>
      <c r="Q32" s="319"/>
      <c r="R32" s="318">
        <v>3325.19</v>
      </c>
      <c r="S32" s="325" t="s">
        <v>276</v>
      </c>
      <c r="T32" s="320"/>
    </row>
    <row r="33">
      <c r="C33" s="313"/>
      <c r="D33" s="300" t="s">
        <v>248</v>
      </c>
      <c r="E33" s="314"/>
      <c r="F33" s="302">
        <f>14230.8+2067.01</f>
        <v>16297.81</v>
      </c>
      <c r="G33" s="314"/>
      <c r="H33" s="300" t="s">
        <v>284</v>
      </c>
      <c r="I33" s="314"/>
      <c r="J33" s="315"/>
      <c r="L33" s="321" t="s">
        <v>246</v>
      </c>
      <c r="M33" s="314"/>
      <c r="N33" s="322">
        <v>437.0</v>
      </c>
      <c r="O33" s="323">
        <v>150000.0</v>
      </c>
      <c r="P33" s="322" t="s">
        <v>247</v>
      </c>
      <c r="Q33" s="319"/>
      <c r="R33" s="318">
        <v>7667.86</v>
      </c>
      <c r="S33" s="325" t="s">
        <v>81</v>
      </c>
      <c r="T33" s="324" t="s">
        <v>256</v>
      </c>
    </row>
    <row r="34">
      <c r="C34" s="313"/>
      <c r="D34" s="300" t="s">
        <v>250</v>
      </c>
      <c r="E34" s="314"/>
      <c r="F34" s="302">
        <f>6218.07+988.57</f>
        <v>7206.64</v>
      </c>
      <c r="G34" s="314"/>
      <c r="H34" s="300" t="s">
        <v>285</v>
      </c>
      <c r="I34" s="314"/>
      <c r="J34" s="315"/>
      <c r="L34" s="316"/>
      <c r="M34" s="314"/>
      <c r="N34" s="317"/>
      <c r="O34" s="317"/>
      <c r="P34" s="317"/>
      <c r="Q34" s="319"/>
      <c r="R34" s="318">
        <v>1168.31</v>
      </c>
      <c r="S34" s="326" t="s">
        <v>276</v>
      </c>
      <c r="T34" s="320"/>
    </row>
    <row r="35">
      <c r="C35" s="313"/>
      <c r="D35" s="300" t="s">
        <v>257</v>
      </c>
      <c r="E35" s="314"/>
      <c r="F35" s="302">
        <f>2410.8+359.48</f>
        <v>2770.28</v>
      </c>
      <c r="G35" s="314"/>
      <c r="H35" s="300" t="s">
        <v>286</v>
      </c>
      <c r="I35" s="314"/>
      <c r="J35" s="315"/>
      <c r="L35" s="321" t="s">
        <v>252</v>
      </c>
      <c r="M35" s="314"/>
      <c r="N35" s="322">
        <v>466.0</v>
      </c>
      <c r="O35" s="323">
        <v>2700000.0</v>
      </c>
      <c r="P35" s="322" t="s">
        <v>254</v>
      </c>
      <c r="Q35" s="319"/>
      <c r="R35" s="318">
        <v>150922.06</v>
      </c>
      <c r="S35" s="326" t="s">
        <v>287</v>
      </c>
      <c r="T35" s="327" t="s">
        <v>256</v>
      </c>
    </row>
    <row r="36">
      <c r="C36" s="313"/>
      <c r="D36" s="300" t="s">
        <v>260</v>
      </c>
      <c r="E36" s="314"/>
      <c r="F36" s="302">
        <f>6760.8+808.83</f>
        <v>7569.63</v>
      </c>
      <c r="G36" s="314"/>
      <c r="H36" s="300" t="s">
        <v>288</v>
      </c>
      <c r="I36" s="314"/>
      <c r="J36" s="315"/>
      <c r="L36" s="316"/>
      <c r="M36" s="314"/>
      <c r="N36" s="317"/>
      <c r="O36" s="317"/>
      <c r="P36" s="317"/>
      <c r="Q36" s="319"/>
      <c r="R36" s="318">
        <v>36307.48</v>
      </c>
      <c r="S36" s="325" t="s">
        <v>276</v>
      </c>
      <c r="T36" s="320"/>
    </row>
    <row r="37">
      <c r="C37" s="313"/>
      <c r="D37" s="300" t="s">
        <v>264</v>
      </c>
      <c r="E37" s="314"/>
      <c r="F37" s="302">
        <f>8162.47+1078.44</f>
        <v>9240.91</v>
      </c>
      <c r="G37" s="314"/>
      <c r="H37" s="300" t="s">
        <v>289</v>
      </c>
      <c r="I37" s="314"/>
      <c r="J37" s="315"/>
      <c r="L37" s="321" t="s">
        <v>262</v>
      </c>
      <c r="M37" s="314"/>
      <c r="N37" s="322">
        <v>434.0</v>
      </c>
      <c r="O37" s="323">
        <v>322944.0</v>
      </c>
      <c r="P37" s="322" t="s">
        <v>263</v>
      </c>
      <c r="Q37" s="319"/>
      <c r="R37" s="318">
        <v>25022.92</v>
      </c>
      <c r="S37" s="325" t="s">
        <v>81</v>
      </c>
      <c r="T37" s="324" t="s">
        <v>256</v>
      </c>
    </row>
    <row r="38">
      <c r="C38" s="313"/>
      <c r="D38" s="300" t="s">
        <v>266</v>
      </c>
      <c r="E38" s="314"/>
      <c r="F38" s="302">
        <f>1502.4+179.74</f>
        <v>1682.14</v>
      </c>
      <c r="G38" s="314"/>
      <c r="H38" s="300" t="s">
        <v>290</v>
      </c>
      <c r="I38" s="314"/>
      <c r="J38" s="315"/>
      <c r="L38" s="316"/>
      <c r="M38" s="314"/>
      <c r="N38" s="317"/>
      <c r="O38" s="317"/>
      <c r="P38" s="317"/>
      <c r="Q38" s="319"/>
      <c r="R38" s="318">
        <v>3415.06</v>
      </c>
      <c r="S38" s="325" t="s">
        <v>276</v>
      </c>
      <c r="T38" s="320"/>
    </row>
    <row r="39">
      <c r="C39" s="316"/>
      <c r="D39" s="300" t="s">
        <v>212</v>
      </c>
      <c r="E39" s="317"/>
      <c r="F39" s="302">
        <f>21095.59+2516.36</f>
        <v>23611.95</v>
      </c>
      <c r="G39" s="317"/>
      <c r="H39" s="300" t="s">
        <v>291</v>
      </c>
      <c r="I39" s="317"/>
      <c r="J39" s="320"/>
      <c r="L39" s="328" t="s">
        <v>268</v>
      </c>
      <c r="M39" s="314"/>
      <c r="N39" s="322">
        <v>469.0</v>
      </c>
      <c r="O39" s="323">
        <v>550000.0</v>
      </c>
      <c r="P39" s="322" t="s">
        <v>269</v>
      </c>
      <c r="Q39" s="322"/>
      <c r="R39" s="318">
        <v>39819.83</v>
      </c>
      <c r="S39" s="325" t="s">
        <v>81</v>
      </c>
      <c r="T39" s="324" t="s">
        <v>256</v>
      </c>
    </row>
    <row r="40">
      <c r="A40" s="29"/>
      <c r="C40" s="329" t="s">
        <v>270</v>
      </c>
      <c r="D40" s="330"/>
      <c r="E40" s="330"/>
      <c r="F40" s="330"/>
      <c r="G40" s="331"/>
      <c r="H40" s="332">
        <f>SUM(F25:F39)</f>
        <v>109361.09</v>
      </c>
      <c r="I40" s="330"/>
      <c r="J40" s="333"/>
      <c r="L40" s="334"/>
      <c r="M40" s="335"/>
      <c r="N40" s="335"/>
      <c r="O40" s="335"/>
      <c r="P40" s="335"/>
      <c r="Q40" s="336"/>
      <c r="R40" s="337">
        <v>4852.98</v>
      </c>
      <c r="S40" s="338" t="s">
        <v>276</v>
      </c>
      <c r="T40" s="339"/>
    </row>
    <row r="41">
      <c r="A41" s="29"/>
    </row>
    <row r="42">
      <c r="A42" s="29"/>
    </row>
    <row r="43">
      <c r="A43" s="340"/>
      <c r="B43" s="341" t="s">
        <v>292</v>
      </c>
      <c r="C43" s="342"/>
      <c r="D43" s="342"/>
      <c r="E43" s="342"/>
      <c r="F43" s="342"/>
      <c r="G43" s="342"/>
      <c r="H43" s="342"/>
      <c r="I43" s="342"/>
      <c r="J43" s="343"/>
      <c r="K43" s="344"/>
      <c r="L43" s="345" t="s">
        <v>293</v>
      </c>
      <c r="M43" s="342"/>
      <c r="N43" s="342"/>
      <c r="O43" s="342"/>
      <c r="P43" s="342"/>
      <c r="Q43" s="342"/>
      <c r="R43" s="342"/>
      <c r="S43" s="343"/>
      <c r="T43" s="346" t="s">
        <v>202</v>
      </c>
      <c r="V43" s="347" t="s">
        <v>294</v>
      </c>
      <c r="W43" s="348" t="s">
        <v>295</v>
      </c>
      <c r="X43" s="348" t="s">
        <v>296</v>
      </c>
      <c r="Y43" s="348" t="s">
        <v>297</v>
      </c>
    </row>
    <row r="44" ht="27.75" customHeight="1">
      <c r="A44" s="349"/>
      <c r="B44" s="350" t="s">
        <v>203</v>
      </c>
      <c r="C44" s="350" t="s">
        <v>204</v>
      </c>
      <c r="D44" s="350" t="s">
        <v>205</v>
      </c>
      <c r="E44" s="350" t="s">
        <v>298</v>
      </c>
      <c r="F44" s="350" t="s">
        <v>210</v>
      </c>
      <c r="G44" s="350" t="s">
        <v>8</v>
      </c>
      <c r="H44" s="350" t="s">
        <v>10</v>
      </c>
      <c r="I44" s="350" t="s">
        <v>207</v>
      </c>
      <c r="J44" s="351" t="s">
        <v>208</v>
      </c>
      <c r="K44" s="344"/>
      <c r="L44" s="350" t="s">
        <v>204</v>
      </c>
      <c r="M44" s="350" t="s">
        <v>205</v>
      </c>
      <c r="N44" s="350" t="s">
        <v>203</v>
      </c>
      <c r="O44" s="350" t="s">
        <v>209</v>
      </c>
      <c r="P44" s="350" t="s">
        <v>8</v>
      </c>
      <c r="Q44" s="350" t="s">
        <v>299</v>
      </c>
      <c r="R44" s="350" t="s">
        <v>210</v>
      </c>
      <c r="S44" s="350" t="s">
        <v>10</v>
      </c>
      <c r="T44" s="352"/>
      <c r="V44" s="353" t="s">
        <v>216</v>
      </c>
      <c r="W44" s="354" t="s">
        <v>300</v>
      </c>
      <c r="X44" s="355" t="s">
        <v>301</v>
      </c>
      <c r="Y44" s="356" t="s">
        <v>302</v>
      </c>
    </row>
    <row r="45">
      <c r="A45" s="357"/>
      <c r="B45" s="358" t="s">
        <v>303</v>
      </c>
      <c r="C45" s="359" t="s">
        <v>220</v>
      </c>
      <c r="D45" s="360">
        <v>46106.0</v>
      </c>
      <c r="E45" s="361">
        <f>F45+F46</f>
        <v>1834.44</v>
      </c>
      <c r="F45" s="362">
        <v>1834.44</v>
      </c>
      <c r="G45" s="363" t="s">
        <v>213</v>
      </c>
      <c r="H45" s="364">
        <v>63.0</v>
      </c>
      <c r="I45" s="363" t="s">
        <v>117</v>
      </c>
      <c r="J45" s="365"/>
      <c r="K45" s="344"/>
      <c r="L45" s="366" t="s">
        <v>216</v>
      </c>
      <c r="M45" s="367">
        <v>46106.0</v>
      </c>
      <c r="N45" s="368">
        <v>666.0</v>
      </c>
      <c r="O45" s="369">
        <v>31200.0</v>
      </c>
      <c r="P45" s="368" t="s">
        <v>218</v>
      </c>
      <c r="Q45" s="369">
        <f>R45+R46</f>
        <v>841.07</v>
      </c>
      <c r="R45" s="370">
        <v>751.2</v>
      </c>
      <c r="S45" s="371" t="s">
        <v>304</v>
      </c>
      <c r="T45" s="372" t="s">
        <v>215</v>
      </c>
      <c r="V45" s="373" t="s">
        <v>225</v>
      </c>
      <c r="W45" s="354" t="s">
        <v>300</v>
      </c>
      <c r="X45" s="374" t="s">
        <v>305</v>
      </c>
      <c r="Y45" s="375" t="s">
        <v>306</v>
      </c>
    </row>
    <row r="46">
      <c r="A46" s="357"/>
      <c r="B46" s="376"/>
      <c r="C46" s="377"/>
      <c r="D46" s="378"/>
      <c r="E46" s="379"/>
      <c r="F46" s="380"/>
      <c r="G46" s="381"/>
      <c r="H46" s="382">
        <v>64.0</v>
      </c>
      <c r="I46" s="381"/>
      <c r="J46" s="383"/>
      <c r="K46" s="344"/>
      <c r="L46" s="384"/>
      <c r="M46" s="385"/>
      <c r="N46" s="377"/>
      <c r="O46" s="377"/>
      <c r="P46" s="377"/>
      <c r="Q46" s="377"/>
      <c r="R46" s="386">
        <v>89.87</v>
      </c>
      <c r="S46" s="387" t="s">
        <v>307</v>
      </c>
      <c r="T46" s="388"/>
      <c r="V46" s="373" t="s">
        <v>234</v>
      </c>
      <c r="W46" s="354" t="s">
        <v>300</v>
      </c>
      <c r="X46" s="374" t="s">
        <v>308</v>
      </c>
      <c r="Y46" s="389" t="s">
        <v>309</v>
      </c>
    </row>
    <row r="47">
      <c r="A47" s="357"/>
      <c r="B47" s="376"/>
      <c r="C47" s="390" t="s">
        <v>223</v>
      </c>
      <c r="D47" s="378"/>
      <c r="E47" s="361">
        <f>F47+F48</f>
        <v>4647.09</v>
      </c>
      <c r="F47" s="380">
        <v>4647.09</v>
      </c>
      <c r="G47" s="381"/>
      <c r="H47" s="382">
        <v>65.0</v>
      </c>
      <c r="I47" s="381"/>
      <c r="J47" s="383"/>
      <c r="K47" s="344"/>
      <c r="L47" s="391" t="s">
        <v>225</v>
      </c>
      <c r="M47" s="385"/>
      <c r="N47" s="392">
        <v>671.0</v>
      </c>
      <c r="O47" s="393">
        <v>55000.0</v>
      </c>
      <c r="P47" s="392" t="s">
        <v>278</v>
      </c>
      <c r="Q47" s="393">
        <f>R47+R48</f>
        <v>4326.45</v>
      </c>
      <c r="R47" s="386">
        <v>3827.1</v>
      </c>
      <c r="S47" s="387" t="s">
        <v>81</v>
      </c>
      <c r="T47" s="394" t="s">
        <v>215</v>
      </c>
      <c r="V47" s="373" t="s">
        <v>310</v>
      </c>
      <c r="W47" s="354" t="s">
        <v>311</v>
      </c>
      <c r="X47" s="374" t="s">
        <v>312</v>
      </c>
      <c r="Y47" s="389" t="s">
        <v>313</v>
      </c>
    </row>
    <row r="48">
      <c r="A48" s="357"/>
      <c r="B48" s="376"/>
      <c r="C48" s="377"/>
      <c r="D48" s="378"/>
      <c r="E48" s="379"/>
      <c r="F48" s="380"/>
      <c r="G48" s="381"/>
      <c r="H48" s="382">
        <v>66.0</v>
      </c>
      <c r="I48" s="381"/>
      <c r="J48" s="383"/>
      <c r="K48" s="344"/>
      <c r="L48" s="384"/>
      <c r="M48" s="385"/>
      <c r="N48" s="377"/>
      <c r="O48" s="377"/>
      <c r="P48" s="377"/>
      <c r="Q48" s="377"/>
      <c r="R48" s="386">
        <v>499.35</v>
      </c>
      <c r="S48" s="387" t="s">
        <v>276</v>
      </c>
      <c r="T48" s="388"/>
      <c r="V48" s="373" t="s">
        <v>240</v>
      </c>
      <c r="W48" s="354" t="s">
        <v>300</v>
      </c>
      <c r="X48" s="374" t="s">
        <v>314</v>
      </c>
      <c r="Y48" s="389" t="s">
        <v>315</v>
      </c>
    </row>
    <row r="49">
      <c r="A49" s="357"/>
      <c r="B49" s="376"/>
      <c r="C49" s="390" t="s">
        <v>229</v>
      </c>
      <c r="D49" s="378"/>
      <c r="E49" s="361">
        <f>F49+F50</f>
        <v>2964.28</v>
      </c>
      <c r="F49" s="380">
        <v>2964.28</v>
      </c>
      <c r="G49" s="381"/>
      <c r="H49" s="382">
        <v>67.0</v>
      </c>
      <c r="I49" s="381"/>
      <c r="J49" s="383"/>
      <c r="K49" s="344"/>
      <c r="L49" s="391" t="s">
        <v>234</v>
      </c>
      <c r="M49" s="385"/>
      <c r="N49" s="392">
        <v>672.0</v>
      </c>
      <c r="O49" s="393">
        <v>155000.0</v>
      </c>
      <c r="P49" s="392" t="s">
        <v>235</v>
      </c>
      <c r="Q49" s="393">
        <f>R49+R50</f>
        <v>15484.3</v>
      </c>
      <c r="R49" s="386">
        <v>13597.03</v>
      </c>
      <c r="S49" s="387" t="s">
        <v>304</v>
      </c>
      <c r="T49" s="394" t="s">
        <v>215</v>
      </c>
      <c r="V49" s="373" t="s">
        <v>316</v>
      </c>
      <c r="W49" s="354" t="s">
        <v>317</v>
      </c>
      <c r="X49" s="374" t="s">
        <v>318</v>
      </c>
      <c r="Y49" s="389" t="s">
        <v>319</v>
      </c>
    </row>
    <row r="50">
      <c r="A50" s="357"/>
      <c r="B50" s="376"/>
      <c r="C50" s="377"/>
      <c r="D50" s="378"/>
      <c r="E50" s="379"/>
      <c r="F50" s="380"/>
      <c r="G50" s="381"/>
      <c r="H50" s="382">
        <v>68.0</v>
      </c>
      <c r="I50" s="381"/>
      <c r="J50" s="383"/>
      <c r="K50" s="344"/>
      <c r="L50" s="384"/>
      <c r="M50" s="385"/>
      <c r="N50" s="377"/>
      <c r="O50" s="377"/>
      <c r="P50" s="377"/>
      <c r="Q50" s="377"/>
      <c r="R50" s="386">
        <v>1887.27</v>
      </c>
      <c r="S50" s="387" t="s">
        <v>307</v>
      </c>
      <c r="T50" s="388"/>
      <c r="V50" s="373" t="s">
        <v>252</v>
      </c>
      <c r="W50" s="354" t="s">
        <v>300</v>
      </c>
      <c r="X50" s="374" t="s">
        <v>320</v>
      </c>
      <c r="Y50" s="389" t="s">
        <v>321</v>
      </c>
    </row>
    <row r="51">
      <c r="A51" s="357"/>
      <c r="B51" s="376"/>
      <c r="C51" s="390" t="s">
        <v>232</v>
      </c>
      <c r="D51" s="378"/>
      <c r="E51" s="361">
        <f>F51+F52</f>
        <v>0</v>
      </c>
      <c r="F51" s="380">
        <v>0.0</v>
      </c>
      <c r="G51" s="381"/>
      <c r="H51" s="382"/>
      <c r="I51" s="381"/>
      <c r="J51" s="383"/>
      <c r="K51" s="344"/>
      <c r="L51" s="391" t="s">
        <v>240</v>
      </c>
      <c r="M51" s="385"/>
      <c r="N51" s="392">
        <v>677.0</v>
      </c>
      <c r="O51" s="393">
        <v>395890.24</v>
      </c>
      <c r="P51" s="392" t="s">
        <v>241</v>
      </c>
      <c r="Q51" s="393">
        <f>R51+R52</f>
        <v>27229.25</v>
      </c>
      <c r="R51" s="386">
        <v>24263.54</v>
      </c>
      <c r="S51" s="395" t="s">
        <v>304</v>
      </c>
      <c r="T51" s="394" t="s">
        <v>215</v>
      </c>
      <c r="V51" s="373" t="s">
        <v>322</v>
      </c>
      <c r="W51" s="354" t="s">
        <v>300</v>
      </c>
      <c r="X51" s="374" t="s">
        <v>320</v>
      </c>
      <c r="Y51" s="389" t="s">
        <v>321</v>
      </c>
    </row>
    <row r="52">
      <c r="A52" s="357"/>
      <c r="B52" s="376"/>
      <c r="C52" s="377"/>
      <c r="D52" s="378"/>
      <c r="E52" s="379"/>
      <c r="F52" s="380"/>
      <c r="G52" s="381"/>
      <c r="H52" s="382"/>
      <c r="I52" s="381"/>
      <c r="J52" s="383"/>
      <c r="K52" s="344"/>
      <c r="L52" s="384"/>
      <c r="M52" s="385"/>
      <c r="N52" s="377"/>
      <c r="O52" s="377"/>
      <c r="P52" s="377"/>
      <c r="Q52" s="377"/>
      <c r="R52" s="386">
        <v>2965.71</v>
      </c>
      <c r="S52" s="395" t="s">
        <v>307</v>
      </c>
      <c r="T52" s="388"/>
      <c r="V52" s="373" t="s">
        <v>323</v>
      </c>
      <c r="W52" s="354" t="s">
        <v>300</v>
      </c>
      <c r="X52" s="374" t="s">
        <v>320</v>
      </c>
      <c r="Y52" s="389" t="s">
        <v>321</v>
      </c>
    </row>
    <row r="53">
      <c r="A53" s="357"/>
      <c r="B53" s="376"/>
      <c r="C53" s="390" t="s">
        <v>236</v>
      </c>
      <c r="D53" s="378"/>
      <c r="E53" s="361">
        <f>F53+F54</f>
        <v>8989.24</v>
      </c>
      <c r="F53" s="380">
        <v>8989.24</v>
      </c>
      <c r="G53" s="381"/>
      <c r="H53" s="382">
        <v>69.0</v>
      </c>
      <c r="I53" s="381"/>
      <c r="J53" s="383"/>
      <c r="K53" s="344"/>
      <c r="L53" s="391" t="s">
        <v>246</v>
      </c>
      <c r="M53" s="385"/>
      <c r="N53" s="392">
        <v>668.0</v>
      </c>
      <c r="O53" s="393">
        <v>150000.0</v>
      </c>
      <c r="P53" s="392" t="s">
        <v>247</v>
      </c>
      <c r="Q53" s="393">
        <f>R53+R54</f>
        <v>8857.1</v>
      </c>
      <c r="R53" s="386">
        <v>7778.66</v>
      </c>
      <c r="S53" s="395" t="s">
        <v>304</v>
      </c>
      <c r="T53" s="394" t="s">
        <v>215</v>
      </c>
      <c r="V53" s="373" t="s">
        <v>324</v>
      </c>
      <c r="W53" s="354" t="s">
        <v>300</v>
      </c>
      <c r="X53" s="374" t="s">
        <v>325</v>
      </c>
      <c r="Y53" s="389" t="s">
        <v>326</v>
      </c>
    </row>
    <row r="54">
      <c r="A54" s="357"/>
      <c r="B54" s="376"/>
      <c r="C54" s="377"/>
      <c r="D54" s="378"/>
      <c r="E54" s="379"/>
      <c r="F54" s="380"/>
      <c r="G54" s="381"/>
      <c r="H54" s="382">
        <v>70.0</v>
      </c>
      <c r="I54" s="381"/>
      <c r="J54" s="383"/>
      <c r="K54" s="344"/>
      <c r="L54" s="384"/>
      <c r="M54" s="385"/>
      <c r="N54" s="377"/>
      <c r="O54" s="377"/>
      <c r="P54" s="377"/>
      <c r="Q54" s="377"/>
      <c r="R54" s="386">
        <v>1078.44</v>
      </c>
      <c r="S54" s="396" t="s">
        <v>307</v>
      </c>
      <c r="T54" s="388"/>
      <c r="V54" s="373" t="s">
        <v>327</v>
      </c>
      <c r="W54" s="354" t="s">
        <v>300</v>
      </c>
      <c r="X54" s="374" t="s">
        <v>328</v>
      </c>
      <c r="Y54" s="389" t="s">
        <v>329</v>
      </c>
    </row>
    <row r="55">
      <c r="A55" s="357"/>
      <c r="B55" s="376"/>
      <c r="C55" s="390" t="s">
        <v>238</v>
      </c>
      <c r="D55" s="378"/>
      <c r="E55" s="361">
        <f>F55+F56</f>
        <v>7094.7</v>
      </c>
      <c r="F55" s="380">
        <v>7094.7</v>
      </c>
      <c r="G55" s="381"/>
      <c r="H55" s="382">
        <v>71.0</v>
      </c>
      <c r="I55" s="381"/>
      <c r="J55" s="383"/>
      <c r="K55" s="344"/>
      <c r="L55" s="391" t="s">
        <v>252</v>
      </c>
      <c r="M55" s="385"/>
      <c r="N55" s="392">
        <v>678.0</v>
      </c>
      <c r="O55" s="393">
        <v>2700000.0</v>
      </c>
      <c r="P55" s="392" t="s">
        <v>330</v>
      </c>
      <c r="Q55" s="393">
        <f>R55+R56</f>
        <v>10066.03</v>
      </c>
      <c r="R55" s="386">
        <v>8628.11</v>
      </c>
      <c r="S55" s="396" t="s">
        <v>304</v>
      </c>
      <c r="T55" s="397" t="s">
        <v>256</v>
      </c>
      <c r="V55" s="373" t="s">
        <v>331</v>
      </c>
      <c r="W55" s="354" t="s">
        <v>300</v>
      </c>
      <c r="X55" s="374" t="s">
        <v>328</v>
      </c>
      <c r="Y55" s="389" t="s">
        <v>329</v>
      </c>
    </row>
    <row r="56">
      <c r="A56" s="357"/>
      <c r="B56" s="376"/>
      <c r="C56" s="377"/>
      <c r="D56" s="378"/>
      <c r="E56" s="379"/>
      <c r="F56" s="380"/>
      <c r="G56" s="381"/>
      <c r="H56" s="382">
        <v>72.0</v>
      </c>
      <c r="I56" s="381"/>
      <c r="J56" s="383"/>
      <c r="K56" s="344"/>
      <c r="L56" s="384"/>
      <c r="M56" s="385"/>
      <c r="N56" s="377"/>
      <c r="O56" s="377"/>
      <c r="P56" s="377"/>
      <c r="Q56" s="377"/>
      <c r="R56" s="386">
        <v>1437.92</v>
      </c>
      <c r="S56" s="395" t="s">
        <v>307</v>
      </c>
      <c r="T56" s="388"/>
      <c r="V56" s="373" t="s">
        <v>332</v>
      </c>
      <c r="W56" s="354" t="s">
        <v>300</v>
      </c>
      <c r="X56" s="374" t="s">
        <v>328</v>
      </c>
      <c r="Y56" s="389" t="s">
        <v>329</v>
      </c>
    </row>
    <row r="57">
      <c r="A57" s="357"/>
      <c r="B57" s="376"/>
      <c r="C57" s="390" t="s">
        <v>242</v>
      </c>
      <c r="D57" s="378"/>
      <c r="E57" s="361">
        <f>F57+F58</f>
        <v>5046.42</v>
      </c>
      <c r="F57" s="380">
        <v>5046.42</v>
      </c>
      <c r="G57" s="381"/>
      <c r="H57" s="382">
        <v>73.0</v>
      </c>
      <c r="I57" s="381"/>
      <c r="J57" s="383"/>
      <c r="K57" s="344"/>
      <c r="L57" s="398" t="s">
        <v>333</v>
      </c>
      <c r="M57" s="385"/>
      <c r="N57" s="392">
        <v>794.0</v>
      </c>
      <c r="O57" s="393">
        <v>2700000.0</v>
      </c>
      <c r="P57" s="392" t="s">
        <v>330</v>
      </c>
      <c r="Q57" s="393">
        <f>R57+R58</f>
        <v>236645.91</v>
      </c>
      <c r="R57" s="386">
        <v>197013.24</v>
      </c>
      <c r="S57" s="395" t="s">
        <v>334</v>
      </c>
      <c r="T57" s="399" t="s">
        <v>256</v>
      </c>
      <c r="V57" s="373" t="s">
        <v>335</v>
      </c>
      <c r="W57" s="354" t="s">
        <v>300</v>
      </c>
      <c r="X57" s="374" t="s">
        <v>328</v>
      </c>
      <c r="Y57" s="389" t="s">
        <v>329</v>
      </c>
    </row>
    <row r="58">
      <c r="A58" s="357"/>
      <c r="B58" s="376"/>
      <c r="C58" s="377"/>
      <c r="D58" s="378"/>
      <c r="E58" s="379"/>
      <c r="F58" s="380"/>
      <c r="G58" s="381"/>
      <c r="H58" s="382">
        <v>74.0</v>
      </c>
      <c r="I58" s="381"/>
      <c r="J58" s="383"/>
      <c r="K58" s="344"/>
      <c r="L58" s="384"/>
      <c r="M58" s="385"/>
      <c r="N58" s="377"/>
      <c r="O58" s="377"/>
      <c r="P58" s="377"/>
      <c r="Q58" s="377"/>
      <c r="R58" s="386">
        <v>39632.67</v>
      </c>
      <c r="S58" s="395" t="s">
        <v>336</v>
      </c>
      <c r="T58" s="399" t="s">
        <v>215</v>
      </c>
      <c r="V58" s="373" t="s">
        <v>337</v>
      </c>
      <c r="W58" s="354" t="s">
        <v>300</v>
      </c>
      <c r="X58" s="374" t="s">
        <v>328</v>
      </c>
      <c r="Y58" s="389" t="s">
        <v>329</v>
      </c>
    </row>
    <row r="59">
      <c r="A59" s="357"/>
      <c r="B59" s="376"/>
      <c r="C59" s="390" t="s">
        <v>244</v>
      </c>
      <c r="D59" s="378"/>
      <c r="E59" s="361">
        <f>F59+F60</f>
        <v>15391.91</v>
      </c>
      <c r="F59" s="380">
        <v>15391.91</v>
      </c>
      <c r="G59" s="381"/>
      <c r="H59" s="382">
        <v>75.0</v>
      </c>
      <c r="I59" s="381"/>
      <c r="J59" s="383"/>
      <c r="K59" s="344"/>
      <c r="L59" s="391" t="s">
        <v>262</v>
      </c>
      <c r="M59" s="385"/>
      <c r="N59" s="392">
        <v>676.0</v>
      </c>
      <c r="O59" s="393">
        <v>322944.0</v>
      </c>
      <c r="P59" s="392" t="s">
        <v>263</v>
      </c>
      <c r="Q59" s="393">
        <f>R59+R60</f>
        <v>28115.16</v>
      </c>
      <c r="R59" s="386">
        <v>24700.1</v>
      </c>
      <c r="S59" s="395" t="s">
        <v>304</v>
      </c>
      <c r="T59" s="394" t="s">
        <v>215</v>
      </c>
      <c r="V59" s="373" t="s">
        <v>338</v>
      </c>
      <c r="W59" s="354" t="s">
        <v>300</v>
      </c>
      <c r="X59" s="374" t="s">
        <v>328</v>
      </c>
      <c r="Y59" s="389" t="s">
        <v>329</v>
      </c>
    </row>
    <row r="60">
      <c r="A60" s="357"/>
      <c r="B60" s="376"/>
      <c r="C60" s="377"/>
      <c r="D60" s="378"/>
      <c r="E60" s="379"/>
      <c r="F60" s="380"/>
      <c r="G60" s="381"/>
      <c r="H60" s="382">
        <v>76.0</v>
      </c>
      <c r="I60" s="381"/>
      <c r="J60" s="383"/>
      <c r="K60" s="344"/>
      <c r="L60" s="384"/>
      <c r="M60" s="385"/>
      <c r="N60" s="377"/>
      <c r="O60" s="377"/>
      <c r="P60" s="377"/>
      <c r="Q60" s="377"/>
      <c r="R60" s="386">
        <v>3415.06</v>
      </c>
      <c r="S60" s="395" t="s">
        <v>307</v>
      </c>
      <c r="T60" s="388"/>
      <c r="V60" s="400" t="s">
        <v>262</v>
      </c>
      <c r="W60" s="401" t="s">
        <v>300</v>
      </c>
      <c r="X60" s="402" t="s">
        <v>339</v>
      </c>
      <c r="Y60" s="403" t="s">
        <v>340</v>
      </c>
    </row>
    <row r="61">
      <c r="A61" s="357"/>
      <c r="B61" s="376"/>
      <c r="C61" s="390" t="s">
        <v>260</v>
      </c>
      <c r="D61" s="378"/>
      <c r="E61" s="361">
        <f>F61+F62</f>
        <v>7519.03</v>
      </c>
      <c r="F61" s="404">
        <v>7519.03</v>
      </c>
      <c r="G61" s="381"/>
      <c r="H61" s="382">
        <v>83.0</v>
      </c>
      <c r="I61" s="381"/>
      <c r="J61" s="383"/>
      <c r="K61" s="344"/>
      <c r="L61" s="398" t="s">
        <v>268</v>
      </c>
      <c r="M61" s="385"/>
      <c r="N61" s="392">
        <v>697.0</v>
      </c>
      <c r="O61" s="393">
        <v>550000.0</v>
      </c>
      <c r="P61" s="392" t="s">
        <v>269</v>
      </c>
      <c r="Q61" s="393">
        <f>R61+R62</f>
        <v>41780.37</v>
      </c>
      <c r="R61" s="386">
        <v>37107.13</v>
      </c>
      <c r="S61" s="395" t="s">
        <v>304</v>
      </c>
      <c r="T61" s="394" t="s">
        <v>215</v>
      </c>
      <c r="V61" s="405"/>
      <c r="W61" s="406"/>
      <c r="X61" s="407"/>
      <c r="Y61" s="408"/>
    </row>
    <row r="62">
      <c r="A62" s="357"/>
      <c r="B62" s="376"/>
      <c r="C62" s="377"/>
      <c r="D62" s="378"/>
      <c r="E62" s="379"/>
      <c r="F62" s="362"/>
      <c r="G62" s="381"/>
      <c r="H62" s="382" t="s">
        <v>341</v>
      </c>
      <c r="I62" s="381"/>
      <c r="J62" s="383"/>
      <c r="K62" s="344"/>
      <c r="L62" s="409"/>
      <c r="M62" s="410"/>
      <c r="N62" s="410"/>
      <c r="O62" s="410"/>
      <c r="P62" s="410"/>
      <c r="Q62" s="410"/>
      <c r="R62" s="411">
        <v>4673.24</v>
      </c>
      <c r="S62" s="412" t="s">
        <v>307</v>
      </c>
      <c r="T62" s="413"/>
      <c r="V62" s="405"/>
      <c r="W62" s="406"/>
      <c r="X62" s="407"/>
      <c r="Y62" s="408"/>
    </row>
    <row r="63">
      <c r="A63" s="357"/>
      <c r="B63" s="376"/>
      <c r="C63" s="390" t="s">
        <v>248</v>
      </c>
      <c r="D63" s="378"/>
      <c r="E63" s="361">
        <f>F63+F64</f>
        <v>16744.61</v>
      </c>
      <c r="F63" s="380">
        <v>16744.61</v>
      </c>
      <c r="G63" s="381"/>
      <c r="H63" s="382">
        <v>77.0</v>
      </c>
      <c r="I63" s="381"/>
      <c r="J63" s="383"/>
      <c r="K63" s="344"/>
      <c r="V63" s="414"/>
      <c r="W63" s="415"/>
      <c r="X63" s="416"/>
      <c r="Y63" s="414"/>
    </row>
    <row r="64">
      <c r="A64" s="357"/>
      <c r="B64" s="376"/>
      <c r="C64" s="377"/>
      <c r="D64" s="378"/>
      <c r="E64" s="379"/>
      <c r="F64" s="380"/>
      <c r="G64" s="381"/>
      <c r="H64" s="382">
        <v>78.0</v>
      </c>
      <c r="I64" s="381"/>
      <c r="J64" s="383"/>
      <c r="K64" s="344"/>
    </row>
    <row r="65">
      <c r="A65" s="357"/>
      <c r="B65" s="376"/>
      <c r="C65" s="390" t="s">
        <v>250</v>
      </c>
      <c r="D65" s="378"/>
      <c r="E65" s="361">
        <f>F65+F66</f>
        <v>6687.66</v>
      </c>
      <c r="F65" s="380">
        <v>6687.66</v>
      </c>
      <c r="G65" s="381"/>
      <c r="H65" s="382">
        <v>79.0</v>
      </c>
      <c r="I65" s="381"/>
      <c r="J65" s="383"/>
      <c r="K65" s="344"/>
    </row>
    <row r="66">
      <c r="A66" s="357"/>
      <c r="B66" s="376"/>
      <c r="C66" s="377"/>
      <c r="D66" s="378"/>
      <c r="E66" s="379"/>
      <c r="F66" s="380"/>
      <c r="G66" s="381"/>
      <c r="H66" s="382">
        <v>80.0</v>
      </c>
      <c r="I66" s="381"/>
      <c r="J66" s="383"/>
      <c r="K66" s="344"/>
    </row>
    <row r="67">
      <c r="A67" s="357"/>
      <c r="B67" s="376"/>
      <c r="C67" s="390" t="s">
        <v>257</v>
      </c>
      <c r="D67" s="378"/>
      <c r="E67" s="361">
        <f>F67+F68</f>
        <v>2589.58</v>
      </c>
      <c r="F67" s="380">
        <v>2589.58</v>
      </c>
      <c r="G67" s="381"/>
      <c r="H67" s="382">
        <v>81.0</v>
      </c>
      <c r="I67" s="381"/>
      <c r="J67" s="383"/>
      <c r="K67" s="344"/>
    </row>
    <row r="68">
      <c r="A68" s="357"/>
      <c r="B68" s="376"/>
      <c r="C68" s="377"/>
      <c r="D68" s="378"/>
      <c r="E68" s="379"/>
      <c r="F68" s="380"/>
      <c r="G68" s="381"/>
      <c r="H68" s="382">
        <v>82.0</v>
      </c>
      <c r="I68" s="381"/>
      <c r="J68" s="383"/>
      <c r="K68" s="344"/>
    </row>
    <row r="69" ht="24.75" customHeight="1">
      <c r="A69" s="357"/>
      <c r="B69" s="376"/>
      <c r="C69" s="390" t="s">
        <v>264</v>
      </c>
      <c r="D69" s="378"/>
      <c r="E69" s="361">
        <f>F69+F70</f>
        <v>9012.27</v>
      </c>
      <c r="F69" s="380">
        <v>9012.27</v>
      </c>
      <c r="G69" s="381"/>
      <c r="H69" s="382">
        <v>85.0</v>
      </c>
      <c r="I69" s="381"/>
      <c r="J69" s="383"/>
      <c r="K69" s="344"/>
    </row>
    <row r="70">
      <c r="A70" s="357"/>
      <c r="B70" s="376"/>
      <c r="C70" s="377"/>
      <c r="D70" s="378"/>
      <c r="E70" s="379"/>
      <c r="F70" s="380"/>
      <c r="G70" s="381"/>
      <c r="H70" s="382">
        <v>86.0</v>
      </c>
      <c r="I70" s="381"/>
      <c r="J70" s="383"/>
      <c r="K70" s="344"/>
    </row>
    <row r="71">
      <c r="A71" s="357"/>
      <c r="B71" s="376"/>
      <c r="C71" s="390" t="s">
        <v>266</v>
      </c>
      <c r="D71" s="378"/>
      <c r="E71" s="361">
        <f>F71+F72</f>
        <v>1682.14</v>
      </c>
      <c r="F71" s="380">
        <v>1682.14</v>
      </c>
      <c r="G71" s="381"/>
      <c r="H71" s="382">
        <v>87.0</v>
      </c>
      <c r="I71" s="381"/>
      <c r="J71" s="383"/>
      <c r="K71" s="344"/>
    </row>
    <row r="72">
      <c r="A72" s="357"/>
      <c r="B72" s="376"/>
      <c r="C72" s="377"/>
      <c r="D72" s="378"/>
      <c r="E72" s="379"/>
      <c r="F72" s="380"/>
      <c r="G72" s="381"/>
      <c r="H72" s="382">
        <v>88.0</v>
      </c>
      <c r="I72" s="381"/>
      <c r="J72" s="383"/>
      <c r="K72" s="344"/>
    </row>
    <row r="73">
      <c r="A73" s="357"/>
      <c r="B73" s="376"/>
      <c r="C73" s="390" t="s">
        <v>212</v>
      </c>
      <c r="D73" s="378"/>
      <c r="E73" s="361">
        <f>F73+F74</f>
        <v>21323.4</v>
      </c>
      <c r="F73" s="417">
        <v>21323.4</v>
      </c>
      <c r="G73" s="381"/>
      <c r="H73" s="382">
        <v>89.0</v>
      </c>
      <c r="I73" s="381"/>
      <c r="J73" s="383"/>
      <c r="K73" s="344"/>
      <c r="L73" s="29"/>
      <c r="M73" s="29"/>
      <c r="N73" s="29"/>
      <c r="O73" s="29"/>
      <c r="P73" s="29"/>
      <c r="Q73" s="29"/>
      <c r="R73" s="29"/>
      <c r="S73" s="29"/>
      <c r="T73" s="29"/>
    </row>
    <row r="74">
      <c r="A74" s="357"/>
      <c r="B74" s="376"/>
      <c r="C74" s="385"/>
      <c r="D74" s="378"/>
      <c r="E74" s="379"/>
      <c r="F74" s="418"/>
      <c r="G74" s="381"/>
      <c r="H74" s="419">
        <v>90.0</v>
      </c>
      <c r="I74" s="381"/>
      <c r="J74" s="383"/>
      <c r="K74" s="344"/>
      <c r="L74" s="420"/>
      <c r="M74" s="421"/>
      <c r="N74" s="422"/>
      <c r="O74" s="423"/>
      <c r="P74" s="422"/>
      <c r="Q74" s="422"/>
      <c r="R74" s="423"/>
      <c r="S74" s="424"/>
      <c r="T74" s="422"/>
    </row>
    <row r="75">
      <c r="A75" s="425"/>
      <c r="B75" s="426" t="s">
        <v>270</v>
      </c>
      <c r="C75" s="427"/>
      <c r="D75" s="427"/>
      <c r="E75" s="427"/>
      <c r="F75" s="427"/>
      <c r="G75" s="428"/>
      <c r="H75" s="429">
        <f>SUM(F45:F75)</f>
        <v>111526.77</v>
      </c>
      <c r="I75" s="427"/>
      <c r="J75" s="428"/>
      <c r="K75" s="344"/>
      <c r="L75" s="29"/>
      <c r="M75" s="29"/>
      <c r="N75" s="29"/>
      <c r="O75" s="29"/>
      <c r="P75" s="29"/>
      <c r="Q75" s="29"/>
      <c r="R75" s="29"/>
      <c r="S75" s="29"/>
      <c r="T75" s="29"/>
    </row>
    <row r="76">
      <c r="A76" s="29"/>
      <c r="K76" s="344"/>
      <c r="L76" s="29"/>
      <c r="M76" s="29"/>
      <c r="N76" s="29"/>
      <c r="O76" s="29"/>
      <c r="P76" s="29"/>
      <c r="Q76" s="29"/>
      <c r="R76" s="29"/>
      <c r="S76" s="29"/>
      <c r="T76" s="29"/>
    </row>
    <row r="77">
      <c r="A77" s="29"/>
      <c r="L77" s="29"/>
      <c r="M77" s="29"/>
      <c r="N77" s="29"/>
      <c r="O77" s="29"/>
      <c r="P77" s="29"/>
      <c r="Q77" s="29"/>
      <c r="R77" s="29"/>
      <c r="S77" s="29"/>
      <c r="T77" s="29"/>
    </row>
    <row r="78">
      <c r="A78" s="29"/>
      <c r="L78" s="29"/>
      <c r="M78" s="29"/>
      <c r="N78" s="29"/>
      <c r="O78" s="29"/>
      <c r="P78" s="29"/>
      <c r="Q78" s="29"/>
      <c r="R78" s="29"/>
      <c r="S78" s="29"/>
      <c r="T78" s="29"/>
    </row>
  </sheetData>
  <mergeCells count="196">
    <mergeCell ref="I4:I18"/>
    <mergeCell ref="I25:I39"/>
    <mergeCell ref="I45:I74"/>
    <mergeCell ref="J45:J74"/>
    <mergeCell ref="J25:J39"/>
    <mergeCell ref="L25:L26"/>
    <mergeCell ref="L27:L28"/>
    <mergeCell ref="L29:L30"/>
    <mergeCell ref="L31:L32"/>
    <mergeCell ref="L33:L34"/>
    <mergeCell ref="L35:L36"/>
    <mergeCell ref="L37:L38"/>
    <mergeCell ref="C40:G40"/>
    <mergeCell ref="H40:J40"/>
    <mergeCell ref="B43:J43"/>
    <mergeCell ref="C2:J2"/>
    <mergeCell ref="C4:C18"/>
    <mergeCell ref="G4:G18"/>
    <mergeCell ref="J4:J18"/>
    <mergeCell ref="M4:M19"/>
    <mergeCell ref="C25:C39"/>
    <mergeCell ref="G25:G39"/>
    <mergeCell ref="E45:E46"/>
    <mergeCell ref="E47:E48"/>
    <mergeCell ref="L53:L54"/>
    <mergeCell ref="L55:L56"/>
    <mergeCell ref="C71:C72"/>
    <mergeCell ref="C73:C74"/>
    <mergeCell ref="B75:G75"/>
    <mergeCell ref="H75:J75"/>
    <mergeCell ref="C49:C50"/>
    <mergeCell ref="E49:E50"/>
    <mergeCell ref="C67:C68"/>
    <mergeCell ref="E67:E68"/>
    <mergeCell ref="C69:C70"/>
    <mergeCell ref="E69:E70"/>
    <mergeCell ref="E71:E72"/>
    <mergeCell ref="E73:E74"/>
    <mergeCell ref="C51:C52"/>
    <mergeCell ref="E51:E52"/>
    <mergeCell ref="C53:C54"/>
    <mergeCell ref="E53:E54"/>
    <mergeCell ref="C55:C56"/>
    <mergeCell ref="E55:E56"/>
    <mergeCell ref="C57:C58"/>
    <mergeCell ref="E57:E58"/>
    <mergeCell ref="C59:C60"/>
    <mergeCell ref="E59:E60"/>
    <mergeCell ref="C61:C62"/>
    <mergeCell ref="E61:E62"/>
    <mergeCell ref="C63:C64"/>
    <mergeCell ref="E63:E64"/>
    <mergeCell ref="T2:T3"/>
    <mergeCell ref="T4:T5"/>
    <mergeCell ref="T6:T7"/>
    <mergeCell ref="T8:T9"/>
    <mergeCell ref="T10:T11"/>
    <mergeCell ref="T12:T13"/>
    <mergeCell ref="T14:T15"/>
    <mergeCell ref="T49:T50"/>
    <mergeCell ref="T51:T52"/>
    <mergeCell ref="T53:T54"/>
    <mergeCell ref="T55:T56"/>
    <mergeCell ref="T59:T60"/>
    <mergeCell ref="T61:T62"/>
    <mergeCell ref="T16:T17"/>
    <mergeCell ref="T18:T19"/>
    <mergeCell ref="T23:T24"/>
    <mergeCell ref="T25:T26"/>
    <mergeCell ref="T27:T28"/>
    <mergeCell ref="T29:T30"/>
    <mergeCell ref="T31:T32"/>
    <mergeCell ref="L2:S2"/>
    <mergeCell ref="L4:L5"/>
    <mergeCell ref="N4:N5"/>
    <mergeCell ref="O4:O5"/>
    <mergeCell ref="P4:P5"/>
    <mergeCell ref="N6:N7"/>
    <mergeCell ref="O6:O7"/>
    <mergeCell ref="P6:P7"/>
    <mergeCell ref="L6:L7"/>
    <mergeCell ref="L8:L9"/>
    <mergeCell ref="N8:N9"/>
    <mergeCell ref="O8:O9"/>
    <mergeCell ref="P8:P9"/>
    <mergeCell ref="N10:N11"/>
    <mergeCell ref="O10:O11"/>
    <mergeCell ref="P10:P11"/>
    <mergeCell ref="L10:L11"/>
    <mergeCell ref="L12:L13"/>
    <mergeCell ref="N12:N13"/>
    <mergeCell ref="O12:O13"/>
    <mergeCell ref="P12:P13"/>
    <mergeCell ref="N14:N15"/>
    <mergeCell ref="O14:O15"/>
    <mergeCell ref="P14:P15"/>
    <mergeCell ref="L18:L19"/>
    <mergeCell ref="C19:G19"/>
    <mergeCell ref="H19:J19"/>
    <mergeCell ref="C23:J23"/>
    <mergeCell ref="L23:S23"/>
    <mergeCell ref="L14:L15"/>
    <mergeCell ref="L16:L17"/>
    <mergeCell ref="N16:N17"/>
    <mergeCell ref="O16:O17"/>
    <mergeCell ref="P16:P17"/>
    <mergeCell ref="O18:O19"/>
    <mergeCell ref="P18:P19"/>
    <mergeCell ref="T33:T34"/>
    <mergeCell ref="T35:T36"/>
    <mergeCell ref="T37:T38"/>
    <mergeCell ref="T39:T40"/>
    <mergeCell ref="L43:S43"/>
    <mergeCell ref="T43:T44"/>
    <mergeCell ref="T45:T46"/>
    <mergeCell ref="T47:T48"/>
    <mergeCell ref="N45:N46"/>
    <mergeCell ref="O45:O46"/>
    <mergeCell ref="P45:P46"/>
    <mergeCell ref="Q45:Q46"/>
    <mergeCell ref="O47:O48"/>
    <mergeCell ref="P47:P48"/>
    <mergeCell ref="Q47:Q48"/>
    <mergeCell ref="N47:N48"/>
    <mergeCell ref="N49:N50"/>
    <mergeCell ref="O49:O50"/>
    <mergeCell ref="P49:P50"/>
    <mergeCell ref="Q49:Q50"/>
    <mergeCell ref="N51:N52"/>
    <mergeCell ref="O51:O52"/>
    <mergeCell ref="L57:L58"/>
    <mergeCell ref="L59:L60"/>
    <mergeCell ref="M25:M40"/>
    <mergeCell ref="L39:L40"/>
    <mergeCell ref="L45:L46"/>
    <mergeCell ref="M45:M62"/>
    <mergeCell ref="L47:L48"/>
    <mergeCell ref="L49:L50"/>
    <mergeCell ref="L51:L52"/>
    <mergeCell ref="L61:L62"/>
    <mergeCell ref="N53:N54"/>
    <mergeCell ref="O53:O54"/>
    <mergeCell ref="P53:P54"/>
    <mergeCell ref="Q53:Q54"/>
    <mergeCell ref="O55:O56"/>
    <mergeCell ref="P55:P56"/>
    <mergeCell ref="Q55:Q56"/>
    <mergeCell ref="N55:N56"/>
    <mergeCell ref="N57:N58"/>
    <mergeCell ref="O57:O58"/>
    <mergeCell ref="P57:P58"/>
    <mergeCell ref="Q57:Q58"/>
    <mergeCell ref="N59:N60"/>
    <mergeCell ref="O59:O60"/>
    <mergeCell ref="N18:N19"/>
    <mergeCell ref="N25:N26"/>
    <mergeCell ref="O25:O26"/>
    <mergeCell ref="P25:P26"/>
    <mergeCell ref="N27:N28"/>
    <mergeCell ref="O27:O28"/>
    <mergeCell ref="P27:P28"/>
    <mergeCell ref="O33:O34"/>
    <mergeCell ref="P33:P34"/>
    <mergeCell ref="N29:N30"/>
    <mergeCell ref="O29:O30"/>
    <mergeCell ref="P29:P30"/>
    <mergeCell ref="N31:N32"/>
    <mergeCell ref="O31:O32"/>
    <mergeCell ref="P31:P32"/>
    <mergeCell ref="N33:N34"/>
    <mergeCell ref="O39:O40"/>
    <mergeCell ref="P39:P40"/>
    <mergeCell ref="N35:N36"/>
    <mergeCell ref="O35:O36"/>
    <mergeCell ref="P35:P36"/>
    <mergeCell ref="N37:N38"/>
    <mergeCell ref="O37:O38"/>
    <mergeCell ref="P37:P38"/>
    <mergeCell ref="N39:N40"/>
    <mergeCell ref="P51:P52"/>
    <mergeCell ref="Q51:Q52"/>
    <mergeCell ref="P59:P60"/>
    <mergeCell ref="Q59:Q60"/>
    <mergeCell ref="N61:N62"/>
    <mergeCell ref="O61:O62"/>
    <mergeCell ref="P61:P62"/>
    <mergeCell ref="Q61:Q62"/>
    <mergeCell ref="C65:C66"/>
    <mergeCell ref="E65:E66"/>
    <mergeCell ref="E4:E18"/>
    <mergeCell ref="E25:E39"/>
    <mergeCell ref="B45:B74"/>
    <mergeCell ref="C45:C46"/>
    <mergeCell ref="D45:D74"/>
    <mergeCell ref="G45:G74"/>
    <mergeCell ref="C47:C48"/>
  </mergeCells>
  <conditionalFormatting sqref="T25:T40 I25:I39">
    <cfRule type="containsText" dxfId="7" priority="1" operator="containsText" text="sim">
      <formula>NOT(ISERROR(SEARCH(("sim"),(T25))))</formula>
    </cfRule>
  </conditionalFormatting>
  <conditionalFormatting sqref="T25:T40 I25:I39">
    <cfRule type="notContainsBlanks" dxfId="8" priority="2">
      <formula>LEN(TRIM(T25))&gt;0</formula>
    </cfRule>
  </conditionalFormatting>
  <conditionalFormatting sqref="T45:T65 T71:T76">
    <cfRule type="notContainsBlanks" dxfId="8" priority="3">
      <formula>LEN(TRIM(T45))&gt;0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2" width="2.25"/>
    <col customWidth="1" min="3" max="3" width="17.25"/>
    <col customWidth="1" min="5" max="6" width="17.13"/>
    <col customWidth="1" min="8" max="8" width="13.75"/>
    <col customWidth="1" min="12" max="12" width="17.63"/>
    <col customWidth="1" min="13" max="13" width="13.63"/>
    <col customWidth="1" min="14" max="14" width="15.5"/>
    <col customWidth="1" min="15" max="15" width="15.25"/>
  </cols>
  <sheetData>
    <row r="3" ht="23.25" customHeight="1">
      <c r="B3" s="430"/>
      <c r="C3" s="431" t="s">
        <v>201</v>
      </c>
      <c r="D3" s="432"/>
      <c r="E3" s="432"/>
      <c r="F3" s="432"/>
      <c r="G3" s="432"/>
      <c r="H3" s="432"/>
      <c r="I3" s="433"/>
      <c r="J3" s="434" t="s">
        <v>202</v>
      </c>
      <c r="L3" s="435" t="s">
        <v>342</v>
      </c>
      <c r="M3" s="436"/>
      <c r="N3" s="436"/>
      <c r="O3" s="437"/>
    </row>
    <row r="4">
      <c r="B4" s="430"/>
      <c r="C4" s="438" t="s">
        <v>204</v>
      </c>
      <c r="D4" s="240" t="s">
        <v>205</v>
      </c>
      <c r="E4" s="236" t="s">
        <v>203</v>
      </c>
      <c r="F4" s="238" t="s">
        <v>209</v>
      </c>
      <c r="G4" s="238" t="s">
        <v>8</v>
      </c>
      <c r="H4" s="238" t="s">
        <v>210</v>
      </c>
      <c r="I4" s="238" t="s">
        <v>10</v>
      </c>
      <c r="J4" s="439"/>
      <c r="L4" s="440" t="s">
        <v>204</v>
      </c>
      <c r="M4" s="441" t="s">
        <v>8</v>
      </c>
      <c r="N4" s="441" t="s">
        <v>206</v>
      </c>
      <c r="O4" s="442" t="s">
        <v>163</v>
      </c>
    </row>
    <row r="5" ht="22.5" customHeight="1">
      <c r="C5" s="443" t="s">
        <v>225</v>
      </c>
      <c r="D5" s="444">
        <v>46023.0</v>
      </c>
      <c r="E5" s="253" t="s">
        <v>343</v>
      </c>
      <c r="F5" s="254">
        <v>2000000.0</v>
      </c>
      <c r="G5" s="253" t="s">
        <v>344</v>
      </c>
      <c r="H5" s="254">
        <v>100837.59</v>
      </c>
      <c r="I5" s="268" t="s">
        <v>25</v>
      </c>
      <c r="J5" s="445" t="s">
        <v>215</v>
      </c>
      <c r="L5" s="446" t="s">
        <v>345</v>
      </c>
      <c r="M5" s="447" t="s">
        <v>344</v>
      </c>
      <c r="N5" s="448">
        <v>2000000.0</v>
      </c>
      <c r="O5" s="449">
        <f t="shared" ref="O5:O6" si="1">N5-(H5+H11+H17+H23)</f>
        <v>1598182.46</v>
      </c>
    </row>
    <row r="6" ht="24.75" customHeight="1">
      <c r="C6" s="450" t="s">
        <v>234</v>
      </c>
      <c r="D6" s="451"/>
      <c r="E6" s="452" t="s">
        <v>346</v>
      </c>
      <c r="F6" s="453">
        <v>480000.0</v>
      </c>
      <c r="G6" s="452" t="s">
        <v>347</v>
      </c>
      <c r="H6" s="454">
        <v>73499.6</v>
      </c>
      <c r="I6" s="455" t="s">
        <v>25</v>
      </c>
      <c r="J6" s="456" t="s">
        <v>215</v>
      </c>
      <c r="L6" s="457" t="s">
        <v>234</v>
      </c>
      <c r="M6" s="458" t="s">
        <v>347</v>
      </c>
      <c r="N6" s="459">
        <v>480000.0</v>
      </c>
      <c r="O6" s="460">
        <f t="shared" si="1"/>
        <v>178593.61</v>
      </c>
    </row>
    <row r="7">
      <c r="D7" s="290"/>
      <c r="E7" s="29"/>
      <c r="F7" s="29"/>
      <c r="G7" s="29"/>
      <c r="H7" s="29"/>
      <c r="I7" s="29"/>
      <c r="J7" s="29"/>
    </row>
    <row r="9">
      <c r="C9" s="431" t="s">
        <v>272</v>
      </c>
      <c r="D9" s="432"/>
      <c r="E9" s="432"/>
      <c r="F9" s="432"/>
      <c r="G9" s="432"/>
      <c r="H9" s="432"/>
      <c r="I9" s="433"/>
      <c r="J9" s="434" t="s">
        <v>202</v>
      </c>
    </row>
    <row r="10">
      <c r="C10" s="438" t="s">
        <v>204</v>
      </c>
      <c r="D10" s="240" t="s">
        <v>205</v>
      </c>
      <c r="E10" s="236" t="s">
        <v>203</v>
      </c>
      <c r="F10" s="238" t="s">
        <v>209</v>
      </c>
      <c r="G10" s="238" t="s">
        <v>8</v>
      </c>
      <c r="H10" s="238" t="s">
        <v>210</v>
      </c>
      <c r="I10" s="238" t="s">
        <v>10</v>
      </c>
      <c r="J10" s="439"/>
    </row>
    <row r="11">
      <c r="C11" s="443" t="s">
        <v>225</v>
      </c>
      <c r="D11" s="444">
        <v>46054.0</v>
      </c>
      <c r="E11" s="253" t="s">
        <v>348</v>
      </c>
      <c r="F11" s="254">
        <v>2000000.0</v>
      </c>
      <c r="G11" s="253" t="s">
        <v>344</v>
      </c>
      <c r="H11" s="254">
        <v>102049.14</v>
      </c>
      <c r="I11" s="268" t="s">
        <v>116</v>
      </c>
      <c r="J11" s="445" t="s">
        <v>215</v>
      </c>
    </row>
    <row r="12">
      <c r="C12" s="450" t="s">
        <v>234</v>
      </c>
      <c r="D12" s="451"/>
      <c r="E12" s="452" t="s">
        <v>349</v>
      </c>
      <c r="F12" s="453">
        <v>480000.0</v>
      </c>
      <c r="G12" s="452" t="s">
        <v>347</v>
      </c>
      <c r="H12" s="454">
        <v>72145.66</v>
      </c>
      <c r="I12" s="455" t="s">
        <v>116</v>
      </c>
      <c r="J12" s="456" t="s">
        <v>215</v>
      </c>
    </row>
    <row r="15">
      <c r="C15" s="431" t="s">
        <v>293</v>
      </c>
      <c r="D15" s="432"/>
      <c r="E15" s="432"/>
      <c r="F15" s="432"/>
      <c r="G15" s="432"/>
      <c r="H15" s="432"/>
      <c r="I15" s="433"/>
      <c r="J15" s="434" t="s">
        <v>202</v>
      </c>
    </row>
    <row r="16">
      <c r="C16" s="461" t="s">
        <v>204</v>
      </c>
      <c r="D16" s="462" t="s">
        <v>205</v>
      </c>
      <c r="E16" s="463" t="s">
        <v>203</v>
      </c>
      <c r="F16" s="464" t="s">
        <v>209</v>
      </c>
      <c r="G16" s="464" t="s">
        <v>8</v>
      </c>
      <c r="H16" s="464" t="s">
        <v>210</v>
      </c>
      <c r="I16" s="465" t="s">
        <v>10</v>
      </c>
      <c r="J16" s="439"/>
    </row>
    <row r="17">
      <c r="C17" s="443" t="s">
        <v>225</v>
      </c>
      <c r="D17" s="444">
        <v>46082.0</v>
      </c>
      <c r="E17" s="253" t="s">
        <v>350</v>
      </c>
      <c r="F17" s="254">
        <v>2000000.0</v>
      </c>
      <c r="G17" s="253" t="s">
        <v>344</v>
      </c>
      <c r="H17" s="254">
        <v>99346.41</v>
      </c>
      <c r="I17" s="268" t="s">
        <v>81</v>
      </c>
      <c r="J17" s="466" t="s">
        <v>215</v>
      </c>
    </row>
    <row r="18">
      <c r="C18" s="450" t="s">
        <v>234</v>
      </c>
      <c r="D18" s="451"/>
      <c r="E18" s="452" t="s">
        <v>351</v>
      </c>
      <c r="F18" s="453">
        <v>480000.0</v>
      </c>
      <c r="G18" s="452" t="s">
        <v>347</v>
      </c>
      <c r="H18" s="454">
        <v>72339.08</v>
      </c>
      <c r="I18" s="455" t="s">
        <v>81</v>
      </c>
      <c r="J18" s="456" t="s">
        <v>215</v>
      </c>
    </row>
    <row r="21">
      <c r="C21" s="431" t="s">
        <v>352</v>
      </c>
      <c r="D21" s="432"/>
      <c r="E21" s="432"/>
      <c r="F21" s="432"/>
      <c r="G21" s="432"/>
      <c r="H21" s="432"/>
      <c r="I21" s="433"/>
      <c r="J21" s="434" t="s">
        <v>202</v>
      </c>
    </row>
    <row r="22">
      <c r="C22" s="461" t="s">
        <v>204</v>
      </c>
      <c r="D22" s="462" t="s">
        <v>205</v>
      </c>
      <c r="E22" s="463" t="s">
        <v>203</v>
      </c>
      <c r="F22" s="464" t="s">
        <v>209</v>
      </c>
      <c r="G22" s="464" t="s">
        <v>8</v>
      </c>
      <c r="H22" s="464" t="s">
        <v>210</v>
      </c>
      <c r="I22" s="465" t="s">
        <v>10</v>
      </c>
      <c r="J22" s="439"/>
    </row>
    <row r="23">
      <c r="C23" s="443" t="s">
        <v>225</v>
      </c>
      <c r="D23" s="444">
        <v>46113.0</v>
      </c>
      <c r="E23" s="253" t="s">
        <v>353</v>
      </c>
      <c r="F23" s="254">
        <v>2000000.0</v>
      </c>
      <c r="G23" s="253" t="s">
        <v>344</v>
      </c>
      <c r="H23" s="254">
        <v>99584.4</v>
      </c>
      <c r="I23" s="268" t="s">
        <v>276</v>
      </c>
      <c r="J23" s="467"/>
    </row>
    <row r="24">
      <c r="C24" s="450" t="s">
        <v>234</v>
      </c>
      <c r="D24" s="451"/>
      <c r="E24" s="452" t="s">
        <v>354</v>
      </c>
      <c r="F24" s="453">
        <v>480000.0</v>
      </c>
      <c r="G24" s="452" t="s">
        <v>347</v>
      </c>
      <c r="H24" s="454">
        <v>83422.05</v>
      </c>
      <c r="I24" s="455" t="s">
        <v>276</v>
      </c>
      <c r="J24" s="468"/>
    </row>
  </sheetData>
  <mergeCells count="13">
    <mergeCell ref="J9:J10"/>
    <mergeCell ref="J15:J16"/>
    <mergeCell ref="J21:J22"/>
    <mergeCell ref="D17:D18"/>
    <mergeCell ref="C21:I21"/>
    <mergeCell ref="D23:D24"/>
    <mergeCell ref="C3:I3"/>
    <mergeCell ref="J3:J4"/>
    <mergeCell ref="L3:O3"/>
    <mergeCell ref="D5:D6"/>
    <mergeCell ref="C9:I9"/>
    <mergeCell ref="D11:D12"/>
    <mergeCell ref="C15:I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6.75"/>
    <col customWidth="1" min="4" max="4" width="15.0"/>
    <col customWidth="1" min="5" max="5" width="14.13"/>
    <col customWidth="1" min="6" max="6" width="13.13"/>
    <col customWidth="1" min="8" max="8" width="17.25"/>
  </cols>
  <sheetData>
    <row r="3" ht="23.25" customHeight="1">
      <c r="B3" s="469" t="s">
        <v>355</v>
      </c>
      <c r="C3" s="470"/>
      <c r="D3" s="470"/>
      <c r="E3" s="470"/>
      <c r="F3" s="470"/>
      <c r="G3" s="470"/>
      <c r="H3" s="471"/>
    </row>
    <row r="4">
      <c r="B4" s="472" t="s">
        <v>203</v>
      </c>
      <c r="C4" s="472" t="s">
        <v>205</v>
      </c>
      <c r="D4" s="472" t="s">
        <v>206</v>
      </c>
      <c r="E4" s="472" t="s">
        <v>8</v>
      </c>
      <c r="F4" s="472" t="s">
        <v>10</v>
      </c>
      <c r="G4" s="472" t="s">
        <v>207</v>
      </c>
      <c r="H4" s="472" t="s">
        <v>12</v>
      </c>
    </row>
    <row r="5">
      <c r="B5" s="473" t="s">
        <v>91</v>
      </c>
      <c r="C5" s="474">
        <v>46023.0</v>
      </c>
      <c r="D5" s="475">
        <v>12168.18</v>
      </c>
      <c r="E5" s="476"/>
      <c r="F5" s="476"/>
      <c r="G5" s="476"/>
      <c r="H5" s="477"/>
    </row>
    <row r="6">
      <c r="B6" s="478"/>
      <c r="C6" s="479">
        <v>46054.0</v>
      </c>
      <c r="D6" s="480"/>
      <c r="E6" s="481"/>
      <c r="F6" s="481"/>
      <c r="G6" s="481"/>
      <c r="H6" s="482"/>
    </row>
    <row r="7">
      <c r="B7" s="478"/>
      <c r="C7" s="479">
        <v>46082.0</v>
      </c>
      <c r="D7" s="480"/>
      <c r="E7" s="481"/>
      <c r="F7" s="481"/>
      <c r="G7" s="481"/>
      <c r="H7" s="482"/>
    </row>
    <row r="8">
      <c r="B8" s="478"/>
      <c r="C8" s="483"/>
      <c r="D8" s="480"/>
      <c r="E8" s="481"/>
      <c r="F8" s="481"/>
      <c r="G8" s="481"/>
      <c r="H8" s="482"/>
    </row>
    <row r="9">
      <c r="B9" s="478"/>
      <c r="C9" s="483"/>
      <c r="D9" s="480"/>
      <c r="E9" s="481"/>
      <c r="F9" s="481"/>
      <c r="G9" s="481"/>
      <c r="H9" s="482"/>
    </row>
    <row r="10">
      <c r="B10" s="478"/>
      <c r="C10" s="483"/>
      <c r="D10" s="480"/>
      <c r="E10" s="481"/>
      <c r="F10" s="481"/>
      <c r="G10" s="481"/>
      <c r="H10" s="482"/>
    </row>
    <row r="11">
      <c r="B11" s="478"/>
      <c r="C11" s="483"/>
      <c r="D11" s="480"/>
      <c r="E11" s="481"/>
      <c r="F11" s="481"/>
      <c r="G11" s="481"/>
      <c r="H11" s="482"/>
    </row>
    <row r="12">
      <c r="B12" s="478"/>
      <c r="C12" s="483"/>
      <c r="D12" s="480"/>
      <c r="E12" s="481"/>
      <c r="F12" s="481"/>
      <c r="G12" s="481"/>
      <c r="H12" s="482"/>
    </row>
    <row r="13">
      <c r="B13" s="478"/>
      <c r="C13" s="483"/>
      <c r="D13" s="480"/>
      <c r="E13" s="481"/>
      <c r="F13" s="481"/>
      <c r="G13" s="481"/>
      <c r="H13" s="482"/>
    </row>
    <row r="14">
      <c r="B14" s="478"/>
      <c r="C14" s="483"/>
      <c r="D14" s="480"/>
      <c r="E14" s="481"/>
      <c r="F14" s="481"/>
      <c r="G14" s="481"/>
      <c r="H14" s="482"/>
    </row>
    <row r="15">
      <c r="B15" s="478"/>
      <c r="C15" s="483"/>
      <c r="D15" s="480"/>
      <c r="E15" s="481"/>
      <c r="F15" s="481"/>
      <c r="G15" s="481"/>
      <c r="H15" s="482"/>
    </row>
    <row r="16">
      <c r="B16" s="478"/>
      <c r="C16" s="483"/>
      <c r="D16" s="480"/>
      <c r="E16" s="481"/>
      <c r="F16" s="481"/>
      <c r="G16" s="481"/>
      <c r="H16" s="482"/>
    </row>
    <row r="17">
      <c r="B17" s="478"/>
      <c r="C17" s="483"/>
      <c r="D17" s="480"/>
      <c r="E17" s="481"/>
      <c r="F17" s="481"/>
      <c r="G17" s="481"/>
      <c r="H17" s="482"/>
    </row>
    <row r="18">
      <c r="B18" s="478"/>
      <c r="C18" s="483"/>
      <c r="D18" s="480"/>
      <c r="E18" s="481"/>
      <c r="F18" s="481"/>
      <c r="G18" s="481"/>
      <c r="H18" s="482"/>
    </row>
    <row r="19">
      <c r="B19" s="484"/>
      <c r="C19" s="485"/>
      <c r="D19" s="486"/>
      <c r="E19" s="487"/>
      <c r="F19" s="487"/>
      <c r="G19" s="487"/>
      <c r="H19" s="488"/>
    </row>
  </sheetData>
  <mergeCells count="1">
    <mergeCell ref="B3:H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25"/>
    <col customWidth="1" min="5" max="5" width="18.75"/>
    <col customWidth="1" min="6" max="7" width="16.88"/>
  </cols>
  <sheetData>
    <row r="5">
      <c r="B5" s="489" t="s">
        <v>356</v>
      </c>
      <c r="C5" s="490"/>
      <c r="D5" s="490"/>
      <c r="E5" s="490"/>
      <c r="F5" s="490"/>
      <c r="G5" s="491"/>
    </row>
    <row r="6">
      <c r="B6" s="492" t="s">
        <v>357</v>
      </c>
      <c r="C6" s="492" t="s">
        <v>206</v>
      </c>
      <c r="D6" s="492" t="s">
        <v>358</v>
      </c>
      <c r="E6" s="492" t="s">
        <v>270</v>
      </c>
      <c r="F6" s="492" t="s">
        <v>359</v>
      </c>
      <c r="G6" s="492" t="s">
        <v>163</v>
      </c>
    </row>
    <row r="7">
      <c r="B7" s="493" t="s">
        <v>360</v>
      </c>
      <c r="C7" s="494">
        <v>68.5</v>
      </c>
      <c r="D7" s="495">
        <v>1125.0</v>
      </c>
      <c r="E7" s="496">
        <f t="shared" ref="E7:E13" si="1">C7*D7</f>
        <v>77062.5</v>
      </c>
      <c r="F7" s="495">
        <v>0.0</v>
      </c>
      <c r="G7" s="497">
        <f t="shared" ref="G7:G13" si="2">E7-(F7*C7)</f>
        <v>77062.5</v>
      </c>
    </row>
    <row r="8">
      <c r="B8" s="498" t="s">
        <v>361</v>
      </c>
      <c r="C8" s="499">
        <v>41.53</v>
      </c>
      <c r="D8" s="500">
        <v>1125.0</v>
      </c>
      <c r="E8" s="501">
        <f t="shared" si="1"/>
        <v>46721.25</v>
      </c>
      <c r="F8" s="500">
        <v>0.0</v>
      </c>
      <c r="G8" s="502">
        <f t="shared" si="2"/>
        <v>46721.25</v>
      </c>
    </row>
    <row r="9">
      <c r="B9" s="498" t="s">
        <v>362</v>
      </c>
      <c r="C9" s="499">
        <v>31.64</v>
      </c>
      <c r="D9" s="500">
        <v>1875.0</v>
      </c>
      <c r="E9" s="501">
        <f t="shared" si="1"/>
        <v>59325</v>
      </c>
      <c r="F9" s="500">
        <v>0.0</v>
      </c>
      <c r="G9" s="502">
        <f t="shared" si="2"/>
        <v>59325</v>
      </c>
    </row>
    <row r="10">
      <c r="B10" s="498" t="s">
        <v>363</v>
      </c>
      <c r="C10" s="499">
        <v>59.8</v>
      </c>
      <c r="D10" s="500">
        <v>1275.0</v>
      </c>
      <c r="E10" s="501">
        <f t="shared" si="1"/>
        <v>76245</v>
      </c>
      <c r="F10" s="500">
        <v>0.0</v>
      </c>
      <c r="G10" s="502">
        <f t="shared" si="2"/>
        <v>76245</v>
      </c>
    </row>
    <row r="11">
      <c r="B11" s="498" t="s">
        <v>364</v>
      </c>
      <c r="C11" s="499">
        <v>53.71</v>
      </c>
      <c r="D11" s="500">
        <v>1250.0</v>
      </c>
      <c r="E11" s="501">
        <f t="shared" si="1"/>
        <v>67137.5</v>
      </c>
      <c r="F11" s="500">
        <v>0.0</v>
      </c>
      <c r="G11" s="502">
        <f t="shared" si="2"/>
        <v>67137.5</v>
      </c>
    </row>
    <row r="12">
      <c r="B12" s="498" t="s">
        <v>365</v>
      </c>
      <c r="C12" s="499">
        <v>16.85</v>
      </c>
      <c r="D12" s="500">
        <v>2000.0</v>
      </c>
      <c r="E12" s="501">
        <f t="shared" si="1"/>
        <v>33700</v>
      </c>
      <c r="F12" s="500">
        <v>0.0</v>
      </c>
      <c r="G12" s="502">
        <f t="shared" si="2"/>
        <v>33700</v>
      </c>
    </row>
    <row r="13">
      <c r="B13" s="503" t="s">
        <v>366</v>
      </c>
      <c r="C13" s="504">
        <v>20.11</v>
      </c>
      <c r="D13" s="505">
        <v>2000.0</v>
      </c>
      <c r="E13" s="506">
        <f t="shared" si="1"/>
        <v>40220</v>
      </c>
      <c r="F13" s="505">
        <v>0.0</v>
      </c>
      <c r="G13" s="507">
        <f t="shared" si="2"/>
        <v>40220</v>
      </c>
    </row>
    <row r="14">
      <c r="B14" s="508" t="s">
        <v>367</v>
      </c>
      <c r="C14" s="490"/>
      <c r="D14" s="491"/>
      <c r="E14" s="509">
        <f>SUM(E7:E13)</f>
        <v>400411.25</v>
      </c>
      <c r="F14" s="510" t="s">
        <v>270</v>
      </c>
      <c r="G14" s="509">
        <f>SUM(G7:G13)</f>
        <v>400411.25</v>
      </c>
    </row>
  </sheetData>
  <mergeCells count="2">
    <mergeCell ref="B5:G5"/>
    <mergeCell ref="B14:D1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